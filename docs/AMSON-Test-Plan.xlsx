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Tests" sheetId="3" state="visible" r:id="rId5"/>
    <sheet name="Role Access" sheetId="4" state="visible" r:id="rId6"/>
  </sheets>
  <definedNames>
    <definedName function="false" hidden="true" localSheetId="2" name="_xlnm._FilterDatabase" vbProcedure="false">Tests!$A$1:$K$470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<sst xmlns="http://schemas.openxmlformats.org/spreadsheetml/2006/main" count="4007" uniqueCount="1638">
  <si>
    <t xml:space="preserve">Section</t>
  </si>
  <si>
    <t xml:space="preserve">Tests</t>
  </si>
  <si>
    <t xml:space="preserve">Pass</t>
  </si>
  <si>
    <t xml:space="preserve">Fail</t>
  </si>
  <si>
    <t xml:space="preserve">Blocked</t>
  </si>
  <si>
    <t xml:space="preserve">N/A</t>
  </si>
  <si>
    <t xml:space="preserve">Not run</t>
  </si>
  <si>
    <t xml:space="preserve">% done</t>
  </si>
  <si>
    <t xml:space="preserve">00 Setup &amp; smoke</t>
  </si>
  <si>
    <t xml:space="preserve">01 Registration</t>
  </si>
  <si>
    <t xml:space="preserve">02 Login &amp; security</t>
  </si>
  <si>
    <t xml:space="preserve">03 Shop browsing &amp; filters</t>
  </si>
  <si>
    <t xml:space="preserve">04 Cart</t>
  </si>
  <si>
    <t xml:space="preserve">05 Checkout</t>
  </si>
  <si>
    <t xml:space="preserve">06 Payment &amp; placing orders</t>
  </si>
  <si>
    <t xml:space="preserve">07 My Orders</t>
  </si>
  <si>
    <t xml:space="preserve">08 Account settings</t>
  </si>
  <si>
    <t xml:space="preserve">09 Live chat (shop)</t>
  </si>
  <si>
    <t xml:space="preserve">10 Role access</t>
  </si>
  <si>
    <t xml:space="preserve">11 Dashboard</t>
  </si>
  <si>
    <t xml:space="preserve">12 POS (walk-in sales)</t>
  </si>
  <si>
    <t xml:space="preserve">13 Online orders - verification</t>
  </si>
  <si>
    <t xml:space="preserve">14 Online orders - list &amp; delivery</t>
  </si>
  <si>
    <t xml:space="preserve">15 Online orders - walk-in tab</t>
  </si>
  <si>
    <t xml:space="preserve">16 Products</t>
  </si>
  <si>
    <t xml:space="preserve">17 Inventory - stock</t>
  </si>
  <si>
    <t xml:space="preserve">18 Inventory - FEFO &amp; expiry</t>
  </si>
  <si>
    <t xml:space="preserve">19 Inventory - receiving</t>
  </si>
  <si>
    <t xml:space="preserve">20 Inventory - write-offs</t>
  </si>
  <si>
    <t xml:space="preserve">21 Purchase orders</t>
  </si>
  <si>
    <t xml:space="preserve">22 Stock count &amp; opening stock</t>
  </si>
  <si>
    <t xml:space="preserve">23 Suppliers</t>
  </si>
  <si>
    <t xml:space="preserve">24 Wholesale</t>
  </si>
  <si>
    <t xml:space="preserve">25 Customer accounts</t>
  </si>
  <si>
    <t xml:space="preserve">26 Staff management</t>
  </si>
  <si>
    <t xml:space="preserve">27 Audit log</t>
  </si>
  <si>
    <t xml:space="preserve">28 Staff notifications</t>
  </si>
  <si>
    <t xml:space="preserve">29 Live chat (staff)</t>
  </si>
  <si>
    <t xml:space="preserve">30 Reports</t>
  </si>
  <si>
    <t xml:space="preserve">31 Settings &amp; clear test data</t>
  </si>
  <si>
    <t xml:space="preserve">32 Emails (EmailJS)</t>
  </si>
  <si>
    <t xml:space="preserve">33 Cross-cutting</t>
  </si>
  <si>
    <t xml:space="preserve">34 End-to-end scenarios</t>
  </si>
  <si>
    <t xml:space="preserve">Total</t>
  </si>
  <si>
    <t xml:space="preserve">Role Access cells</t>
  </si>
  <si>
    <t xml:space="preserve">AMSON - Full System Test Plan</t>
  </si>
  <si>
    <t xml:space="preserve">Covers every page, button, filter, tab, sort, search, export, role and business rule in the webapp branch (rules commit 7fdbde9 live on amson-web-app).</t>
  </si>
  <si>
    <t xml:space="preserve">How to use</t>
  </si>
  <si>
    <t xml:space="preserve">1. Run on the deployed site (or http://localhost:8080 while Netlify is pending). Use a fresh browser profile per role.</t>
  </si>
  <si>
    <t xml:space="preserve">2. Set Result for each row: Pass / Fail / Blocked / N/A. Leave 'Not run' until tested. On Fail, write what happened in Notes (and add a To-Do row in the Deviation Register).</t>
  </si>
  <si>
    <t xml:space="preserve">3. Do the 'Role Access' sheet once per role. The Summary sheet counts results by section.</t>
  </si>
  <si>
    <t xml:space="preserve">4. Run sections in order: 00 Setup first, 34 End-to-end last. Sections 13-15 and 17-22 need orders and stock created by earlier sections.</t>
  </si>
  <si>
    <t xml:space="preserve">Accounts needed (each with a real inbox, because device codes and order emails are sent)</t>
  </si>
  <si>
    <t xml:space="preserve">- 2 customers (A, B) - B is used for 'another customer's order' and cart-isolation tests</t>
  </si>
  <si>
    <t xml:space="preserve">- 1 Branch Manager, 1 Technical Staff, 1 Sales Staff (create the last two in Staff Management, test 26)</t>
  </si>
  <si>
    <t xml:space="preserve">- 1 spare customer and 1 spare staff account to deactivate</t>
  </si>
  <si>
    <t xml:space="preserve">Test data needed</t>
  </si>
  <si>
    <t xml:space="preserve">- Categories added (Generics, Branded, Drugstore (Per Piece), Medical Supplies)</t>
  </si>
  <si>
    <t xml:space="preserve">- At least: 1 Rx product, 1 product at/below reorder point, 1 out of stock, 1 with a batch expiring in 3-5 months, 1 expiring within 2 months, 1 with two batches of different expiry</t>
  </si>
  <si>
    <t xml:space="preserve">- 1 supplier, 1 wholesale account with valid documents and 1 with an expired LTO</t>
  </si>
  <si>
    <t xml:space="preserve">- Store credit on customer A (from an overpayment test)</t>
  </si>
  <si>
    <t xml:space="preserve">Time-based tests (3-day auto-deliver, 7-day hold close, lockout 2 min, device code 10 min)</t>
  </si>
  <si>
    <t xml:space="preserve">Wait it out, or ask the developer to back-date the test record in Firestore. Mark Blocked if neither is possible.</t>
  </si>
  <si>
    <t xml:space="preserve">Columns</t>
  </si>
  <si>
    <t xml:space="preserve">Req = requirement number in the manuscript / Deviation Register. Role = account to log in as (Guest = logged out).</t>
  </si>
  <si>
    <t xml:space="preserve">Before go-live: clear test data (test 31) and set REQUIRE_DEVICE_CODE back to true (test 00).</t>
  </si>
  <si>
    <t xml:space="preserve">ID</t>
  </si>
  <si>
    <t xml:space="preserve">Page / where</t>
  </si>
  <si>
    <t xml:space="preserve">Log in as</t>
  </si>
  <si>
    <t xml:space="preserve">Steps</t>
  </si>
  <si>
    <t xml:space="preserve">Expected result</t>
  </si>
  <si>
    <t xml:space="preserve">Req</t>
  </si>
  <si>
    <t xml:space="preserve">Result</t>
  </si>
  <si>
    <t xml:space="preserve">Tester</t>
  </si>
  <si>
    <t xml:space="preserve">Date</t>
  </si>
  <si>
    <t xml:space="preserve">Notes / bug</t>
  </si>
  <si>
    <t xml:space="preserve">T00-01</t>
  </si>
  <si>
    <t xml:space="preserve">Site URL</t>
  </si>
  <si>
    <t xml:space="preserve">Guest</t>
  </si>
  <si>
    <t xml:space="preserve">Open the hosted site (Netlify URL) over https://.</t>
  </si>
  <si>
    <t xml:space="preserve">Loads with a padlock (HTTPS); no browser security warning.</t>
  </si>
  <si>
    <t xml:space="preserve">REQNF010</t>
  </si>
  <si>
    <t xml:space="preserve">T00-02</t>
  </si>
  <si>
    <t xml:space="preserve">Open index.html.</t>
  </si>
  <si>
    <t xml:space="preserve">Redirects to shop/index.html.</t>
  </si>
  <si>
    <t xml:space="preserve">T00-03</t>
  </si>
  <si>
    <t xml:space="preserve">Any page</t>
  </si>
  <si>
    <t xml:space="preserve">Open DevTools &gt; Console on the shop home page and reload.</t>
  </si>
  <si>
    <t xml:space="preserve">No red errors (Firebase, Cloudinary, EmailJS, Chart.js, jsPDF load).</t>
  </si>
  <si>
    <t xml:space="preserve">T00-04</t>
  </si>
  <si>
    <t xml:space="preserve">Deploy a small change, then reload normally (no hard refresh).</t>
  </si>
  <si>
    <t xml:space="preserve">New version shows (_headers no-cache works).</t>
  </si>
  <si>
    <t xml:space="preserve">T00-05</t>
  </si>
  <si>
    <t xml:space="preserve">Firebase console</t>
  </si>
  <si>
    <t xml:space="preserve">Branch Manager</t>
  </si>
  <si>
    <t xml:space="preserve">Firestore &gt; Rules: compare with firestore.rules on webapp.</t>
  </si>
  <si>
    <t xml:space="preserve">Published rules are the latest commit.</t>
  </si>
  <si>
    <t xml:space="preserve">REQNF011</t>
  </si>
  <si>
    <t xml:space="preserve">T00-06</t>
  </si>
  <si>
    <t xml:space="preserve">Authentication &gt; Settings &gt; Authorized domains.</t>
  </si>
  <si>
    <t xml:space="preserve">Netlify domain is listed (otherwise login fails on the hosted site).</t>
  </si>
  <si>
    <t xml:space="preserve">T00-07</t>
  </si>
  <si>
    <t xml:space="preserve">js/device-trust.js</t>
  </si>
  <si>
    <t xml:space="preserve">Confirm REQUIRE_DEVICE_CODE is true for go-live (false only while testing with fake inboxes).</t>
  </si>
  <si>
    <t xml:space="preserve">true on the deployed site.</t>
  </si>
  <si>
    <t xml:space="preserve">REQ005</t>
  </si>
  <si>
    <t xml:space="preserve">T00-08</t>
  </si>
  <si>
    <t xml:space="preserve">assets/payment-qr.png</t>
  </si>
  <si>
    <t xml:space="preserve">Open shop/payment.html with an item in the cart.</t>
  </si>
  <si>
    <t xml:space="preserve">The branch's real QR Ph image shows (not a placeholder).</t>
  </si>
  <si>
    <t xml:space="preserve">REQ028</t>
  </si>
  <si>
    <t xml:space="preserve">T00-09</t>
  </si>
  <si>
    <t xml:space="preserve">js/store-info.js</t>
  </si>
  <si>
    <t xml:space="preserve">Scroll to the footer on any page.</t>
  </si>
  <si>
    <t xml:space="preserve">Real store name, address, contact numbers and FDA LTO no.</t>
  </si>
  <si>
    <t xml:space="preserve">T01-01</t>
  </si>
  <si>
    <t xml:space="preserve">register.html</t>
  </si>
  <si>
    <t xml:space="preserve">Submit with every field empty.</t>
  </si>
  <si>
    <t xml:space="preserve">Each required field shows an error; nothing is created.</t>
  </si>
  <si>
    <t xml:space="preserve">REQ001</t>
  </si>
  <si>
    <t xml:space="preserve">T01-02</t>
  </si>
  <si>
    <t xml:space="preserve">First/last name with digits or symbols (e.g. 'Juan2', 'Dela@Cruz').</t>
  </si>
  <si>
    <t xml:space="preserve">Rejected with a name-format message.</t>
  </si>
  <si>
    <t xml:space="preserve">T01-03</t>
  </si>
  <si>
    <t xml:space="preserve">Names with accents, hyphen, period/space (e.g. 'José', 'Dela-Cruz', 'Ma. Clara').</t>
  </si>
  <si>
    <t xml:space="preserve">Accepted.</t>
  </si>
  <si>
    <t xml:space="preserve">T01-04</t>
  </si>
  <si>
    <t xml:space="preserve">Invalid email (e.g. 'juan@', 'juan@gmail', '.juan@gmail.com').</t>
  </si>
  <si>
    <t xml:space="preserve">Rejected.</t>
  </si>
  <si>
    <t xml:space="preserve">T01-05</t>
  </si>
  <si>
    <t xml:space="preserve">Disposable email domain (e.g. @mailnesia.com, @getnada.com).</t>
  </si>
  <si>
    <t xml:space="preserve">Rejected as a temporary email.</t>
  </si>
  <si>
    <t xml:space="preserve">T01-06</t>
  </si>
  <si>
    <t xml:space="preserve">Contact no. '0917123456' (10 digits), '+6391712345678', '08171234567'.</t>
  </si>
  <si>
    <t xml:space="preserve">Rejected; only 09XXXXXXXXX or +639XXXXXXXXX accepted.</t>
  </si>
  <si>
    <t xml:space="preserve">T01-07</t>
  </si>
  <si>
    <t xml:space="preserve">Contact no. '09171234567' and '+639171234567'.</t>
  </si>
  <si>
    <t xml:space="preserve">Both accepted.</t>
  </si>
  <si>
    <t xml:space="preserve">T01-08</t>
  </si>
  <si>
    <t xml:space="preserve">Password 'abcdef', '123456', 'abc123' (no symbol), 'a1!' (too short).</t>
  </si>
  <si>
    <t xml:space="preserve">Each rejected: needs 6+ chars with a letter, a digit and a symbol.</t>
  </si>
  <si>
    <t xml:space="preserve">T01-09</t>
  </si>
  <si>
    <t xml:space="preserve">Password 'abc12!' with a different Confirm Password.</t>
  </si>
  <si>
    <t xml:space="preserve">Rejected: passwords don't match.</t>
  </si>
  <si>
    <t xml:space="preserve">T01-10</t>
  </si>
  <si>
    <t xml:space="preserve">Click the eye icon on both password fields.</t>
  </si>
  <si>
    <t xml:space="preserve">Toggles show/hide.</t>
  </si>
  <si>
    <t xml:space="preserve">T01-11</t>
  </si>
  <si>
    <t xml:space="preserve">Submit without ticking 'I agree' to the Terms.</t>
  </si>
  <si>
    <t xml:space="preserve">Blocked with a message.</t>
  </si>
  <si>
    <t xml:space="preserve">REQ006</t>
  </si>
  <si>
    <t xml:space="preserve">T01-12</t>
  </si>
  <si>
    <t xml:space="preserve">Open the Terms link, read, click 'I Have Read and Agree'; also try Close.</t>
  </si>
  <si>
    <t xml:space="preserve">Agree ticks the box; Close leaves it unticked.</t>
  </si>
  <si>
    <t xml:space="preserve">T01-13</t>
  </si>
  <si>
    <t xml:space="preserve">Submit without completing reCAPTCHA.</t>
  </si>
  <si>
    <t xml:space="preserve">'Please complete the reCAPTCHA verification.'</t>
  </si>
  <si>
    <t xml:space="preserve">REQ003</t>
  </si>
  <si>
    <t xml:space="preserve">T01-14</t>
  </si>
  <si>
    <t xml:space="preserve">Register with an email that already has an account.</t>
  </si>
  <si>
    <t xml:space="preserve">Clear 'already registered' message; no duplicate.</t>
  </si>
  <si>
    <t xml:space="preserve">T01-15</t>
  </si>
  <si>
    <t xml:space="preserve">Register with valid data and a real inbox.</t>
  </si>
  <si>
    <t xml:space="preserve">Goes to verify-email.html; 6-digit code arrives by email.</t>
  </si>
  <si>
    <t xml:space="preserve">REQ002</t>
  </si>
  <si>
    <t xml:space="preserve">T01-16</t>
  </si>
  <si>
    <t xml:space="preserve">verify-email.html</t>
  </si>
  <si>
    <t xml:space="preserve">Customer</t>
  </si>
  <si>
    <t xml:space="preserve">Type a wrong 6-digit code.</t>
  </si>
  <si>
    <t xml:space="preserve">Rejected; account stays unverified.</t>
  </si>
  <si>
    <t xml:space="preserve">T01-17</t>
  </si>
  <si>
    <t xml:space="preserve">Paste the code; also type digit by digit (auto-advance between the 6 boxes).</t>
  </si>
  <si>
    <t xml:space="preserve">Both work; correct code verifies and continues.</t>
  </si>
  <si>
    <t xml:space="preserve">T01-18</t>
  </si>
  <si>
    <t xml:space="preserve">Click 'Wrong email? Go back to registration'.</t>
  </si>
  <si>
    <t xml:space="preserve">Returns to registration.</t>
  </si>
  <si>
    <t xml:space="preserve">T01-19</t>
  </si>
  <si>
    <t xml:space="preserve">Wait past expiry / request resend (if shown), then use the old code.</t>
  </si>
  <si>
    <t xml:space="preserve">Old code rejected; new code works.</t>
  </si>
  <si>
    <t xml:space="preserve">T01-20</t>
  </si>
  <si>
    <t xml:space="preserve">login.html</t>
  </si>
  <si>
    <t xml:space="preserve">Log in with a registered but unverified account.</t>
  </si>
  <si>
    <t xml:space="preserve">Sent to email verification, not into the shop.</t>
  </si>
  <si>
    <t xml:space="preserve">T02-01</t>
  </si>
  <si>
    <t xml:space="preserve">Log in with correct customer credentials (recognized device).</t>
  </si>
  <si>
    <t xml:space="preserve">Lands on the shop as signed in; header shows Account.</t>
  </si>
  <si>
    <t xml:space="preserve">REQ043</t>
  </si>
  <si>
    <t xml:space="preserve">T02-02</t>
  </si>
  <si>
    <t xml:space="preserve">Sales Staff</t>
  </si>
  <si>
    <t xml:space="preserve">Log in as Sales Staff.</t>
  </si>
  <si>
    <t xml:space="preserve">Lands on admin/pos.html.</t>
  </si>
  <si>
    <t xml:space="preserve">REQ121</t>
  </si>
  <si>
    <t xml:space="preserve">T02-03</t>
  </si>
  <si>
    <t xml:space="preserve">Technical Staff</t>
  </si>
  <si>
    <t xml:space="preserve">Log in as Technical Staff.</t>
  </si>
  <si>
    <t xml:space="preserve">Lands on admin/dashboard.html.</t>
  </si>
  <si>
    <t xml:space="preserve">T02-04</t>
  </si>
  <si>
    <t xml:space="preserve">Log in as Branch Manager.</t>
  </si>
  <si>
    <t xml:space="preserve">T02-05</t>
  </si>
  <si>
    <t xml:space="preserve">Wrong password once.</t>
  </si>
  <si>
    <t xml:space="preserve">Generic error; no hint whether the email exists.</t>
  </si>
  <si>
    <t xml:space="preserve">T02-06</t>
  </si>
  <si>
    <t xml:space="preserve">Wrong password 5 times in a row for the same email.</t>
  </si>
  <si>
    <t xml:space="preserve">Account locked for 2 minutes with a countdown/message.</t>
  </si>
  <si>
    <t xml:space="preserve">REQ004</t>
  </si>
  <si>
    <t xml:space="preserve">T02-07</t>
  </si>
  <si>
    <t xml:space="preserve">During the lock, try the correct password.</t>
  </si>
  <si>
    <t xml:space="preserve">Still refused until 2 minutes pass.</t>
  </si>
  <si>
    <t xml:space="preserve">T02-08</t>
  </si>
  <si>
    <t xml:space="preserve">After 2 minutes, log in with the correct password.</t>
  </si>
  <si>
    <t xml:space="preserve">Works; counter resets.</t>
  </si>
  <si>
    <t xml:space="preserve">T02-09</t>
  </si>
  <si>
    <t xml:space="preserve">Lockout for staff: 5 wrong passwords on a staff email.</t>
  </si>
  <si>
    <t xml:space="preserve">Locked for 2 minutes, same as customers.</t>
  </si>
  <si>
    <t xml:space="preserve">REQ045</t>
  </si>
  <si>
    <t xml:space="preserve">T02-10</t>
  </si>
  <si>
    <t xml:space="preserve">Submit without reCAPTCHA.</t>
  </si>
  <si>
    <t xml:space="preserve">Blocked.</t>
  </si>
  <si>
    <t xml:space="preserve">T02-11</t>
  </si>
  <si>
    <t xml:space="preserve">Tick 'Remember me', log in, close the browser, reopen.</t>
  </si>
  <si>
    <t xml:space="preserve">Still signed in. Without it: signed out after the browser closes.</t>
  </si>
  <si>
    <t xml:space="preserve">T02-12</t>
  </si>
  <si>
    <t xml:space="preserve">Log in from a new browser / incognito (device not recognized).</t>
  </si>
  <si>
    <t xml:space="preserve">6-digit code emailed; must enter it before continuing.</t>
  </si>
  <si>
    <t xml:space="preserve">T02-13</t>
  </si>
  <si>
    <t xml:space="preserve">Device code: enter a wrong code 5 times.</t>
  </si>
  <si>
    <t xml:space="preserve">Locked out of that code; must resend.</t>
  </si>
  <si>
    <t xml:space="preserve">T02-14</t>
  </si>
  <si>
    <t xml:space="preserve">Device code: click Resend before 60 s, then after 60 s.</t>
  </si>
  <si>
    <t xml:space="preserve">Resend waits 60 s; new code arrives and works.</t>
  </si>
  <si>
    <t xml:space="preserve">T02-15</t>
  </si>
  <si>
    <t xml:space="preserve">Device code: use a code older than 10 minutes.</t>
  </si>
  <si>
    <t xml:space="preserve">Rejected as expired.</t>
  </si>
  <si>
    <t xml:space="preserve">T02-16</t>
  </si>
  <si>
    <t xml:space="preserve">Device code: click Cancel.</t>
  </si>
  <si>
    <t xml:space="preserve">Signs out and returns to login.</t>
  </si>
  <si>
    <t xml:space="preserve">T02-17</t>
  </si>
  <si>
    <t xml:space="preserve">Staff on a new device.</t>
  </si>
  <si>
    <t xml:space="preserve">Also gets the device code; admin pages send an unconfirmed device back to login.</t>
  </si>
  <si>
    <t xml:space="preserve">REQ044</t>
  </si>
  <si>
    <t xml:space="preserve">T02-18</t>
  </si>
  <si>
    <t xml:space="preserve">Log in with a customer account a staff member deactivated.</t>
  </si>
  <si>
    <t xml:space="preserve">Refused with a deactivated message.</t>
  </si>
  <si>
    <t xml:space="preserve">REQ117</t>
  </si>
  <si>
    <t xml:space="preserve">T02-19</t>
  </si>
  <si>
    <t xml:space="preserve">Log in with a deactivated staff account.</t>
  </si>
  <si>
    <t xml:space="preserve">Refused.</t>
  </si>
  <si>
    <t xml:space="preserve">REQ118</t>
  </si>
  <si>
    <t xml:space="preserve">T02-20</t>
  </si>
  <si>
    <t xml:space="preserve">Deactivate a staff account while that person is logged in elsewhere; have them click any admin page.</t>
  </si>
  <si>
    <t xml:space="preserve">They lose access immediately (rules deny; page signs them out).</t>
  </si>
  <si>
    <t xml:space="preserve">T02-21</t>
  </si>
  <si>
    <t xml:space="preserve">forgot-password.html</t>
  </si>
  <si>
    <t xml:space="preserve">Submit an invalid email.</t>
  </si>
  <si>
    <t xml:space="preserve">Validation error.</t>
  </si>
  <si>
    <t xml:space="preserve">REQ007</t>
  </si>
  <si>
    <t xml:space="preserve">T02-22</t>
  </si>
  <si>
    <t xml:space="preserve">Submit a registered email.</t>
  </si>
  <si>
    <t xml:space="preserve">Firebase reset email arrives; link sets a new password; old one stops working.</t>
  </si>
  <si>
    <t xml:space="preserve">T02-23</t>
  </si>
  <si>
    <t xml:space="preserve">Reset a staff password the same way.</t>
  </si>
  <si>
    <t xml:space="preserve">Works for staff.</t>
  </si>
  <si>
    <t xml:space="preserve">REQ046</t>
  </si>
  <si>
    <t xml:space="preserve">T02-24</t>
  </si>
  <si>
    <t xml:space="preserve">Submit an email with no account.</t>
  </si>
  <si>
    <t xml:space="preserve">Same neutral message (no account enumeration).</t>
  </si>
  <si>
    <t xml:space="preserve">T03-01</t>
  </si>
  <si>
    <t xml:space="preserve">shop/index.html</t>
  </si>
  <si>
    <t xml:space="preserve">Open the home page.</t>
  </si>
  <si>
    <t xml:space="preserve">Products, categories, banner (if active), navigation and footer show.</t>
  </si>
  <si>
    <t xml:space="preserve">REQ008</t>
  </si>
  <si>
    <t xml:space="preserve">T03-02</t>
  </si>
  <si>
    <t xml:space="preserve">Turn on an Announcement banner in Settings; reload shop pages.</t>
  </si>
  <si>
    <t xml:space="preserve">Banner shows on every shop page with the right style.</t>
  </si>
  <si>
    <t xml:space="preserve">T03-03</t>
  </si>
  <si>
    <t xml:space="preserve">Switch banner type to Promotion.</t>
  </si>
  <si>
    <t xml:space="preserve">Promotion styling shows.</t>
  </si>
  <si>
    <t xml:space="preserve">T03-04</t>
  </si>
  <si>
    <t xml:space="preserve">Turn the banner off.</t>
  </si>
  <si>
    <t xml:space="preserve">Banner disappears on all shop pages.</t>
  </si>
  <si>
    <t xml:space="preserve">T03-05</t>
  </si>
  <si>
    <t xml:space="preserve">Click 'Shop Now' and every 'View All' link.</t>
  </si>
  <si>
    <t xml:space="preserve">Goes to products.html.</t>
  </si>
  <si>
    <t xml:space="preserve">T03-06</t>
  </si>
  <si>
    <t xml:space="preserve">Use the 'All Products' menu and each category link in the header.</t>
  </si>
  <si>
    <t xml:space="preserve">Products page opens filtered to that category.</t>
  </si>
  <si>
    <t xml:space="preserve">REQ009</t>
  </si>
  <si>
    <t xml:space="preserve">T03-07</t>
  </si>
  <si>
    <t xml:space="preserve">Header (every shop page)</t>
  </si>
  <si>
    <t xml:space="preserve">Type a product name in the header search on each shop page and press Enter / click the search icon.</t>
  </si>
  <si>
    <t xml:space="preserve">Goes to products.html with matching results.</t>
  </si>
  <si>
    <t xml:space="preserve">REQ011</t>
  </si>
  <si>
    <t xml:space="preserve">T03-08</t>
  </si>
  <si>
    <t xml:space="preserve">Header</t>
  </si>
  <si>
    <t xml:space="preserve">Header search with a generic name (e.g. 'paracetamol').</t>
  </si>
  <si>
    <t xml:space="preserve">Products with that generic name show.</t>
  </si>
  <si>
    <t xml:space="preserve">T03-09</t>
  </si>
  <si>
    <t xml:space="preserve">Header search with nonsense text.</t>
  </si>
  <si>
    <t xml:space="preserve">'No products found' message.</t>
  </si>
  <si>
    <t xml:space="preserve">REQ012</t>
  </si>
  <si>
    <t xml:space="preserve">T03-10</t>
  </si>
  <si>
    <t xml:space="preserve">shop/products.html</t>
  </si>
  <si>
    <t xml:space="preserve">Open with no filters.</t>
  </si>
  <si>
    <t xml:space="preserve">Only Active, online-available products; each card shows name, price, quantity in stock.</t>
  </si>
  <si>
    <t xml:space="preserve">T03-11</t>
  </si>
  <si>
    <t xml:space="preserve">Category: tick 'All'.</t>
  </si>
  <si>
    <t xml:space="preserve">All categories shown; other boxes cleared.</t>
  </si>
  <si>
    <t xml:space="preserve">REQ010</t>
  </si>
  <si>
    <t xml:space="preserve">T03-12</t>
  </si>
  <si>
    <t xml:space="preserve">Category: tick each category one at a time (Generics, Branded, Drugstore (Per Piece), Medical Supplies, and any other).</t>
  </si>
  <si>
    <t xml:space="preserve">Only that category's products show for each.</t>
  </si>
  <si>
    <t xml:space="preserve">T03-13</t>
  </si>
  <si>
    <t xml:space="preserve">Category: tick two categories together.</t>
  </si>
  <si>
    <t xml:space="preserve">Products from both show; 'All' unticks.</t>
  </si>
  <si>
    <t xml:space="preserve">T03-14</t>
  </si>
  <si>
    <t xml:space="preserve">Category: untick everything.</t>
  </si>
  <si>
    <t xml:space="preserve">Falls back to All (or clear empty-state), not a broken page.</t>
  </si>
  <si>
    <t xml:space="preserve">T03-15</t>
  </si>
  <si>
    <t xml:space="preserve">Price: Min only (e.g. 100) &gt; Search.</t>
  </si>
  <si>
    <t xml:space="preserve">Only products &gt;= 100.</t>
  </si>
  <si>
    <t xml:space="preserve">T03-16</t>
  </si>
  <si>
    <t xml:space="preserve">Price: Max only (e.g. 50) &gt; Search.</t>
  </si>
  <si>
    <t xml:space="preserve">Only products &lt;= 50.</t>
  </si>
  <si>
    <t xml:space="preserve">T03-17</t>
  </si>
  <si>
    <t xml:space="preserve">Price: Min 50, Max 200.</t>
  </si>
  <si>
    <t xml:space="preserve">Only products 50-200 inclusive.</t>
  </si>
  <si>
    <t xml:space="preserve">T03-18</t>
  </si>
  <si>
    <t xml:space="preserve">Price: Min greater than Max (e.g. 500 / 100).</t>
  </si>
  <si>
    <t xml:space="preserve">Clear message or empty result; no crash.</t>
  </si>
  <si>
    <t xml:space="preserve">T03-19</t>
  </si>
  <si>
    <t xml:space="preserve">Price: negative or decimal values (-5, 12.50).</t>
  </si>
  <si>
    <t xml:space="preserve">Negative rejected/ignored; decimals work.</t>
  </si>
  <si>
    <t xml:space="preserve">T03-20</t>
  </si>
  <si>
    <t xml:space="preserve">Stock: 'All products'.</t>
  </si>
  <si>
    <t xml:space="preserve">In-stock and out-of-stock both show.</t>
  </si>
  <si>
    <t xml:space="preserve">T03-21</t>
  </si>
  <si>
    <t xml:space="preserve">Stock: 'In stock only'.</t>
  </si>
  <si>
    <t xml:space="preserve">Only products with sellable stock (near-expiry and expired batches don't count).</t>
  </si>
  <si>
    <t xml:space="preserve">T03-22</t>
  </si>
  <si>
    <t xml:space="preserve">Stock: 'Out of stock'.</t>
  </si>
  <si>
    <t xml:space="preserve">Only out-of-stock products, with an Out of Stock badge; can't add to cart.</t>
  </si>
  <si>
    <t xml:space="preserve">T03-23</t>
  </si>
  <si>
    <t xml:space="preserve">Sort: Name (A-Z).</t>
  </si>
  <si>
    <t xml:space="preserve">Alphabetical ascending.</t>
  </si>
  <si>
    <t xml:space="preserve">T03-24</t>
  </si>
  <si>
    <t xml:space="preserve">Sort: Name (Z-A).</t>
  </si>
  <si>
    <t xml:space="preserve">Alphabetical descending.</t>
  </si>
  <si>
    <t xml:space="preserve">T03-25</t>
  </si>
  <si>
    <t xml:space="preserve">Sort: Price (Low-High).</t>
  </si>
  <si>
    <t xml:space="preserve">Cheapest first.</t>
  </si>
  <si>
    <t xml:space="preserve">T03-26</t>
  </si>
  <si>
    <t xml:space="preserve">Sort: Price (High-Low).</t>
  </si>
  <si>
    <t xml:space="preserve">Most expensive first.</t>
  </si>
  <si>
    <t xml:space="preserve">T03-27</t>
  </si>
  <si>
    <t xml:space="preserve">Combine: one category + price range + In stock only + Price (Low-High) + a search word.</t>
  </si>
  <si>
    <t xml:space="preserve">All filters apply together.</t>
  </si>
  <si>
    <t xml:space="preserve">T03-28</t>
  </si>
  <si>
    <t xml:space="preserve">Combination that matches nothing.</t>
  </si>
  <si>
    <t xml:space="preserve">T03-29</t>
  </si>
  <si>
    <t xml:space="preserve">Change a filter, go to page 2, then change a filter again.</t>
  </si>
  <si>
    <t xml:space="preserve">Pagination resets to page 1; page count matches results.</t>
  </si>
  <si>
    <t xml:space="preserve">T03-30</t>
  </si>
  <si>
    <t xml:space="preserve">Pagination: next/previous/each page number.</t>
  </si>
  <si>
    <t xml:space="preserve">Correct products per page; no duplicates or gaps.</t>
  </si>
  <si>
    <t xml:space="preserve">T03-31</t>
  </si>
  <si>
    <t xml:space="preserve">Mark a product Inactive or untick 'Available online' in admin.</t>
  </si>
  <si>
    <t xml:space="preserve">It disappears from the shop.</t>
  </si>
  <si>
    <t xml:space="preserve">T03-32</t>
  </si>
  <si>
    <t xml:space="preserve">A product with only near-expiry (within 6 months) stock.</t>
  </si>
  <si>
    <t xml:space="preserve">Shows as out of stock online.</t>
  </si>
  <si>
    <t xml:space="preserve">REQ066</t>
  </si>
  <si>
    <t xml:space="preserve">T03-33</t>
  </si>
  <si>
    <t xml:space="preserve">Quick view (if shown on cards).</t>
  </si>
  <si>
    <t xml:space="preserve">Shows name, price, stock, dosage notes.</t>
  </si>
  <si>
    <t xml:space="preserve">REQ013</t>
  </si>
  <si>
    <t xml:space="preserve">T03-34</t>
  </si>
  <si>
    <t xml:space="preserve">shop/product-details.html</t>
  </si>
  <si>
    <t xml:space="preserve">Open a product.</t>
  </si>
  <si>
    <t xml:space="preserve">Name, description, price, stock, dosage/usage notes and image.</t>
  </si>
  <si>
    <t xml:space="preserve">T03-35</t>
  </si>
  <si>
    <t xml:space="preserve">Open an Rx product.</t>
  </si>
  <si>
    <t xml:space="preserve">Rx badge and prescription notice.</t>
  </si>
  <si>
    <t xml:space="preserve">REQ021</t>
  </si>
  <si>
    <t xml:space="preserve">T03-36</t>
  </si>
  <si>
    <t xml:space="preserve">Quantity: set above stock; set 0 or negative.</t>
  </si>
  <si>
    <t xml:space="preserve">Capped at stock; 0/negative refused.</t>
  </si>
  <si>
    <t xml:space="preserve">REQ015</t>
  </si>
  <si>
    <t xml:space="preserve">T03-37</t>
  </si>
  <si>
    <t xml:space="preserve">Add to cart as a guest.</t>
  </si>
  <si>
    <t xml:space="preserve">Toast shows; cart count updates.</t>
  </si>
  <si>
    <t xml:space="preserve">REQ014</t>
  </si>
  <si>
    <t xml:space="preserve">T03-38</t>
  </si>
  <si>
    <t xml:space="preserve">Open product-details.html with a bad or missing id.</t>
  </si>
  <si>
    <t xml:space="preserve">Friendly 'not found', no crash.</t>
  </si>
  <si>
    <t xml:space="preserve">REQNF014</t>
  </si>
  <si>
    <t xml:space="preserve">T04-01</t>
  </si>
  <si>
    <t xml:space="preserve">shop/cart.html</t>
  </si>
  <si>
    <t xml:space="preserve">Add 3 different products; open cart.</t>
  </si>
  <si>
    <t xml:space="preserve">All 3 with correct prices and line totals.</t>
  </si>
  <si>
    <t xml:space="preserve">T04-02</t>
  </si>
  <si>
    <t xml:space="preserve">Increase / decrease quantity; type a quantity.</t>
  </si>
  <si>
    <t xml:space="preserve">Running total updates immediately; can't exceed stock.</t>
  </si>
  <si>
    <t xml:space="preserve">REQ016</t>
  </si>
  <si>
    <t xml:space="preserve">T04-03</t>
  </si>
  <si>
    <t xml:space="preserve">Remove an item.</t>
  </si>
  <si>
    <t xml:space="preserve">Item removed; total updates.</t>
  </si>
  <si>
    <t xml:space="preserve">T04-04</t>
  </si>
  <si>
    <t xml:space="preserve">Untick one item's checkbox; use 'Select all'.</t>
  </si>
  <si>
    <t xml:space="preserve">Total counts only ticked items; Select all ticks/unticks all.</t>
  </si>
  <si>
    <t xml:space="preserve">T04-05</t>
  </si>
  <si>
    <t xml:space="preserve">Proceed to Checkout as a guest.</t>
  </si>
  <si>
    <t xml:space="preserve">Asked to log in/register first.</t>
  </si>
  <si>
    <t xml:space="preserve">T04-06</t>
  </si>
  <si>
    <t xml:space="preserve">As guest add items, then log in.</t>
  </si>
  <si>
    <t xml:space="preserve">Guest cart merges into the account cart.</t>
  </si>
  <si>
    <t xml:space="preserve">T04-07</t>
  </si>
  <si>
    <t xml:space="preserve">Log in on a second browser with the same account.</t>
  </si>
  <si>
    <t xml:space="preserve">Same cart shows (saved on the account).</t>
  </si>
  <si>
    <t xml:space="preserve">T04-08</t>
  </si>
  <si>
    <t xml:space="preserve">Log out, then log in as a different customer on the same browser.</t>
  </si>
  <si>
    <t xml:space="preserve">First customer's cart does not show.</t>
  </si>
  <si>
    <t xml:space="preserve">T04-09</t>
  </si>
  <si>
    <t xml:space="preserve">Product goes out of stock while in the cart.</t>
  </si>
  <si>
    <t xml:space="preserve">Cart flags it and blocks checkout for that item.</t>
  </si>
  <si>
    <t xml:space="preserve">REQ050</t>
  </si>
  <si>
    <t xml:space="preserve">T04-10</t>
  </si>
  <si>
    <t xml:space="preserve">Empty cart.</t>
  </si>
  <si>
    <t xml:space="preserve">Empty-state message with Browse Products.</t>
  </si>
  <si>
    <t xml:space="preserve">T05-01</t>
  </si>
  <si>
    <t xml:space="preserve">shop/checkout.html</t>
  </si>
  <si>
    <t xml:space="preserve">Open checkout with a non-Rx cart.</t>
  </si>
  <si>
    <t xml:space="preserve">Name, email, contact prefilled; saved address prefilled.</t>
  </si>
  <si>
    <t xml:space="preserve">REQ017</t>
  </si>
  <si>
    <t xml:space="preserve">T05-02</t>
  </si>
  <si>
    <t xml:space="preserve">Clear the street address and try 'Proceed to Payment'.</t>
  </si>
  <si>
    <t xml:space="preserve">Blocked until the address is complete.</t>
  </si>
  <si>
    <t xml:space="preserve">REQ019</t>
  </si>
  <si>
    <t xml:space="preserve">T05-03</t>
  </si>
  <si>
    <t xml:space="preserve">Invalid contact number / zip code.</t>
  </si>
  <si>
    <t xml:space="preserve">T05-04</t>
  </si>
  <si>
    <t xml:space="preserve">Delivery schedule: tick ASAP.</t>
  </si>
  <si>
    <t xml:space="preserve">Date and time slot disable; saves as ASAP.</t>
  </si>
  <si>
    <t xml:space="preserve">REQ103</t>
  </si>
  <si>
    <t xml:space="preserve">T05-05</t>
  </si>
  <si>
    <t xml:space="preserve">Delivery schedule: pick today/a future date + Morning (8 AM-12 PM).</t>
  </si>
  <si>
    <t xml:space="preserve">Saved and shown on the summary.</t>
  </si>
  <si>
    <t xml:space="preserve">T05-06</t>
  </si>
  <si>
    <t xml:space="preserve">Delivery schedule: Afternoon (12 PM-4 PM).</t>
  </si>
  <si>
    <t xml:space="preserve">Saved.</t>
  </si>
  <si>
    <t xml:space="preserve">T05-07</t>
  </si>
  <si>
    <t xml:space="preserve">Delivery schedule: Evening (4 PM-8 PM).</t>
  </si>
  <si>
    <t xml:space="preserve">T05-08</t>
  </si>
  <si>
    <t xml:space="preserve">Delivery schedule: try a past date.</t>
  </si>
  <si>
    <t xml:space="preserve">Not selectable / refused.</t>
  </si>
  <si>
    <t xml:space="preserve">T05-09</t>
  </si>
  <si>
    <t xml:space="preserve">Delivery schedule modal: Cancel.</t>
  </si>
  <si>
    <t xml:space="preserve">Nothing changes.</t>
  </si>
  <si>
    <t xml:space="preserve">T05-10</t>
  </si>
  <si>
    <t xml:space="preserve">Notice about the delivery fee.</t>
  </si>
  <si>
    <t xml:space="preserve">Says the Lalamove fee is paid to the rider.</t>
  </si>
  <si>
    <t xml:space="preserve">REQ020</t>
  </si>
  <si>
    <t xml:space="preserve">T05-11</t>
  </si>
  <si>
    <t xml:space="preserve">Delivery notes (optional) filled.</t>
  </si>
  <si>
    <t xml:space="preserve">Carried to the order and the staff delivery details.</t>
  </si>
  <si>
    <t xml:space="preserve">REQ107</t>
  </si>
  <si>
    <t xml:space="preserve">T05-12</t>
  </si>
  <si>
    <t xml:space="preserve">Checkout with an Rx item in the cart.</t>
  </si>
  <si>
    <t xml:space="preserve">Pick-up only; pick-up notice says bring the original prescription; no delivery schedule.</t>
  </si>
  <si>
    <t xml:space="preserve">REQ023, REQ026</t>
  </si>
  <si>
    <t xml:space="preserve">T05-13</t>
  </si>
  <si>
    <t xml:space="preserve">Complete checkout, then return to checkout later.</t>
  </si>
  <si>
    <t xml:space="preserve">New address is now the saved default.</t>
  </si>
  <si>
    <t xml:space="preserve">REQ018</t>
  </si>
  <si>
    <t xml:space="preserve">T06-01</t>
  </si>
  <si>
    <t xml:space="preserve">shop/payment.html</t>
  </si>
  <si>
    <t xml:space="preserve">Open payment for a non-Rx cart.</t>
  </si>
  <si>
    <t xml:space="preserve">QR Ph code, account details, total; no prescription upload.</t>
  </si>
  <si>
    <t xml:space="preserve">T06-02</t>
  </si>
  <si>
    <t xml:space="preserve">Submit without a payment screenshot.</t>
  </si>
  <si>
    <t xml:space="preserve">REQ029</t>
  </si>
  <si>
    <t xml:space="preserve">T06-03</t>
  </si>
  <si>
    <t xml:space="preserve">Upload a file over 10 MB / a non-image.</t>
  </si>
  <si>
    <t xml:space="preserve">Refused with a size/type message.</t>
  </si>
  <si>
    <t xml:space="preserve">T06-04</t>
  </si>
  <si>
    <t xml:space="preserve">Submit without a reference number.</t>
  </si>
  <si>
    <t xml:space="preserve">Blocked (or as designed).</t>
  </si>
  <si>
    <t xml:space="preserve">REQ022</t>
  </si>
  <si>
    <t xml:space="preserve">T06-05</t>
  </si>
  <si>
    <t xml:space="preserve">Submit a valid order.</t>
  </si>
  <si>
    <t xml:space="preserve">Success screen; order in My Orders as 'Order Pending Verification'; confirmation in the bell and by email.</t>
  </si>
  <si>
    <t xml:space="preserve">REQ030, REQ039</t>
  </si>
  <si>
    <t xml:space="preserve">T06-06</t>
  </si>
  <si>
    <t xml:space="preserve">Click 'View My Orders' / 'Back to Home' on the success screen.</t>
  </si>
  <si>
    <t xml:space="preserve">Correct pages; cart is now empty.</t>
  </si>
  <si>
    <t xml:space="preserve">T06-07</t>
  </si>
  <si>
    <t xml:space="preserve">Rx cart: submit without a prescription photo.</t>
  </si>
  <si>
    <t xml:space="preserve">T06-08</t>
  </si>
  <si>
    <t xml:space="preserve">Rx cart: submit with prescription + payment screenshot.</t>
  </si>
  <si>
    <t xml:space="preserve">Order shows 'Pending Prescription Verification'; pick-up note shown.</t>
  </si>
  <si>
    <t xml:space="preserve">REQ024</t>
  </si>
  <si>
    <t xml:space="preserve">T06-09</t>
  </si>
  <si>
    <t xml:space="preserve">Customer with store credit smaller than the total.</t>
  </si>
  <si>
    <t xml:space="preserve">Credit applied automatically; amount to pay reduced.</t>
  </si>
  <si>
    <t xml:space="preserve">REQ098</t>
  </si>
  <si>
    <t xml:space="preserve">T06-10</t>
  </si>
  <si>
    <t xml:space="preserve">Customer with store credit larger than the total.</t>
  </si>
  <si>
    <t xml:space="preserve">Credit covers the subtotal; remaining credit stays on the account.</t>
  </si>
  <si>
    <t xml:space="preserve">T06-11</t>
  </si>
  <si>
    <t xml:space="preserve">Store credit: open two tabs with the same cart and submit both quickly.</t>
  </si>
  <si>
    <t xml:space="preserve">Credit is only used once; second order pays full or is refused.</t>
  </si>
  <si>
    <t xml:space="preserve">T06-12</t>
  </si>
  <si>
    <t xml:space="preserve">Order numbers: place two orders.</t>
  </si>
  <si>
    <t xml:space="preserve">Sequential order numbers for the year.</t>
  </si>
  <si>
    <t xml:space="preserve">T06-13</t>
  </si>
  <si>
    <t xml:space="preserve">Item sold out between cart and submit.</t>
  </si>
  <si>
    <t xml:space="preserve">Clear message; no order with missing stock.</t>
  </si>
  <si>
    <t xml:space="preserve">T07-01</t>
  </si>
  <si>
    <t xml:space="preserve">shop/orders.html</t>
  </si>
  <si>
    <t xml:space="preserve">Open while logged out.</t>
  </si>
  <si>
    <t xml:space="preserve">Asks to log in.</t>
  </si>
  <si>
    <t xml:space="preserve">T07-02</t>
  </si>
  <si>
    <t xml:space="preserve">Open with orders.</t>
  </si>
  <si>
    <t xml:space="preserve">All own orders, newest first, with status badges and View Details.</t>
  </si>
  <si>
    <t xml:space="preserve">REQ027, REQ031</t>
  </si>
  <si>
    <t xml:space="preserve">T07-03</t>
  </si>
  <si>
    <t xml:space="preserve">No orders yet.</t>
  </si>
  <si>
    <t xml:space="preserve">Empty state with Browse Products.</t>
  </si>
  <si>
    <t xml:space="preserve">T07-04</t>
  </si>
  <si>
    <t xml:space="preserve">Staff changes an order's status.</t>
  </si>
  <si>
    <t xml:space="preserve">Status updates live without refresh.</t>
  </si>
  <si>
    <t xml:space="preserve">REQNF005</t>
  </si>
  <si>
    <t xml:space="preserve">T07-05</t>
  </si>
  <si>
    <t xml:space="preserve">shop/order-details.html</t>
  </si>
  <si>
    <t xml:space="preserve">Open a pending order.</t>
  </si>
  <si>
    <t xml:space="preserve">Items, totals, address, schedule, timeline; no receipt download yet.</t>
  </si>
  <si>
    <t xml:space="preserve">REQ032, REQ093</t>
  </si>
  <si>
    <t xml:space="preserve">T07-06</t>
  </si>
  <si>
    <t xml:space="preserve">Open another customer's order id in the URL.</t>
  </si>
  <si>
    <t xml:space="preserve">Not shown (permission / not found).</t>
  </si>
  <si>
    <t xml:space="preserve">T07-07</t>
  </si>
  <si>
    <t xml:space="preserve">After payment confirmed: Download Receipt.</t>
  </si>
  <si>
    <t xml:space="preserve">PDF with SI No., items, subtotal, store credit applied.</t>
  </si>
  <si>
    <t xml:space="preserve">REQ033, REQ093</t>
  </si>
  <si>
    <t xml:space="preserve">T07-08</t>
  </si>
  <si>
    <t xml:space="preserve">Dispatched order: tracking section.</t>
  </si>
  <si>
    <t xml:space="preserve">Lalamove tracking link opens the share page.</t>
  </si>
  <si>
    <t xml:space="preserve">REQ034</t>
  </si>
  <si>
    <t xml:space="preserve">T07-09</t>
  </si>
  <si>
    <t xml:space="preserve">Delivered order: 'Order Marked as Received'.</t>
  </si>
  <si>
    <t xml:space="preserve">Status becomes Received; button disappears.</t>
  </si>
  <si>
    <t xml:space="preserve">REQ105</t>
  </si>
  <si>
    <t xml:space="preserve">T07-10</t>
  </si>
  <si>
    <t xml:space="preserve">Dispatched more than 3 days ago: open the order.</t>
  </si>
  <si>
    <t xml:space="preserve">Moves to Delivered automatically.</t>
  </si>
  <si>
    <t xml:space="preserve">REQ106</t>
  </si>
  <si>
    <t xml:space="preserve">T07-11</t>
  </si>
  <si>
    <t xml:space="preserve">On hold (invalid payment): upload new screenshot + reference &gt; Resubmit for Review.</t>
  </si>
  <si>
    <t xml:space="preserve">Back in staff queue; hold marked resolved by customer.</t>
  </si>
  <si>
    <t xml:space="preserve">REQ096</t>
  </si>
  <si>
    <t xml:space="preserve">T07-12</t>
  </si>
  <si>
    <t xml:space="preserve">On hold (underpayment): upload proof of the balance.</t>
  </si>
  <si>
    <t xml:space="preserve">Resubmits; staff see the outstanding amount.</t>
  </si>
  <si>
    <t xml:space="preserve">REQ097</t>
  </si>
  <si>
    <t xml:space="preserve">T07-13</t>
  </si>
  <si>
    <t xml:space="preserve">On hold (payment not received).</t>
  </si>
  <si>
    <t xml:space="preserve">Shows 'Payment Rejected - Re-upload Needed'; resubmit works.</t>
  </si>
  <si>
    <t xml:space="preserve">REQ099</t>
  </si>
  <si>
    <t xml:space="preserve">T07-14</t>
  </si>
  <si>
    <t xml:space="preserve">Rx rejected: upload a new prescription photo.</t>
  </si>
  <si>
    <t xml:space="preserve">Resubmits for prescription check.</t>
  </si>
  <si>
    <t xml:space="preserve">REQ079</t>
  </si>
  <si>
    <t xml:space="preserve">T07-15</t>
  </si>
  <si>
    <t xml:space="preserve">Hold older than 7 days: open the order.</t>
  </si>
  <si>
    <t xml:space="preserve">Closed (unresolved); verified payment becomes store credit.</t>
  </si>
  <si>
    <t xml:space="preserve">REQ100</t>
  </si>
  <si>
    <t xml:space="preserve">T07-16</t>
  </si>
  <si>
    <t xml:space="preserve">Rx order approved.</t>
  </si>
  <si>
    <t xml:space="preserve">Shows Ready for Pick-up; after staff hand-over, Picked Up.</t>
  </si>
  <si>
    <t xml:space="preserve">REQ025</t>
  </si>
  <si>
    <t xml:space="preserve">T08-01</t>
  </si>
  <si>
    <t xml:space="preserve">shop/account-settings.html</t>
  </si>
  <si>
    <t xml:space="preserve">Change first/last name and contact &gt; Save Changes.</t>
  </si>
  <si>
    <t xml:space="preserve">Saved; header shows new name; invalid formats refused.</t>
  </si>
  <si>
    <t xml:space="preserve">REQ040</t>
  </si>
  <si>
    <t xml:space="preserve">T08-02</t>
  </si>
  <si>
    <t xml:space="preserve">Change Photo: upload an image.</t>
  </si>
  <si>
    <t xml:space="preserve">Profile photo updates.</t>
  </si>
  <si>
    <t xml:space="preserve">T08-03</t>
  </si>
  <si>
    <t xml:space="preserve">Change Photo: upload a non-image / huge file.</t>
  </si>
  <si>
    <t xml:space="preserve">T08-04</t>
  </si>
  <si>
    <t xml:space="preserve">Edit address fields + delivery notes &gt; Save Address.</t>
  </si>
  <si>
    <t xml:space="preserve">Saved and prefilled at next checkout.</t>
  </si>
  <si>
    <t xml:space="preserve">T08-05</t>
  </si>
  <si>
    <t xml:space="preserve">Update Password with the wrong current password.</t>
  </si>
  <si>
    <t xml:space="preserve">REQ041</t>
  </si>
  <si>
    <t xml:space="preserve">T08-06</t>
  </si>
  <si>
    <t xml:space="preserve">Update Password: new password too weak / confirm doesn't match.</t>
  </si>
  <si>
    <t xml:space="preserve">Refused with the rule.</t>
  </si>
  <si>
    <t xml:space="preserve">T08-07</t>
  </si>
  <si>
    <t xml:space="preserve">Update Password correctly; log out and in with the new one.</t>
  </si>
  <si>
    <t xml:space="preserve">Works; old password fails.</t>
  </si>
  <si>
    <t xml:space="preserve">T08-08</t>
  </si>
  <si>
    <t xml:space="preserve">Change Email: new email + password &gt; Send Verification Code &gt; enter code.</t>
  </si>
  <si>
    <t xml:space="preserve">Email changes; next login uses the new email.</t>
  </si>
  <si>
    <t xml:space="preserve">T08-09</t>
  </si>
  <si>
    <t xml:space="preserve">Change Email: wrong password / wrong code / Resend Code.</t>
  </si>
  <si>
    <t xml:space="preserve">Refused / refused / new code works.</t>
  </si>
  <si>
    <t xml:space="preserve">T08-10</t>
  </si>
  <si>
    <t xml:space="preserve">Email notifications toggle OFF, then have staff update an order.</t>
  </si>
  <si>
    <t xml:space="preserve">No email; bell still shows it. Toggle ON: emails resume.</t>
  </si>
  <si>
    <t xml:space="preserve">REQ042</t>
  </si>
  <si>
    <t xml:space="preserve">T08-11</t>
  </si>
  <si>
    <t xml:space="preserve">Recognized devices list; 'Forget all other devices'.</t>
  </si>
  <si>
    <t xml:space="preserve">Other browsers need a device code next login.</t>
  </si>
  <si>
    <t xml:space="preserve">T09-01</t>
  </si>
  <si>
    <t xml:space="preserve">Chat widget (every shop page)</t>
  </si>
  <si>
    <t xml:space="preserve">Open 'Chat with us' as a guest and ask about store hours.</t>
  </si>
  <si>
    <t xml:space="preserve">Built-in answer appears.</t>
  </si>
  <si>
    <t xml:space="preserve">REQ035</t>
  </si>
  <si>
    <t xml:space="preserve">T09-02</t>
  </si>
  <si>
    <t xml:space="preserve">Reload the page.</t>
  </si>
  <si>
    <t xml:space="preserve">Same guest conversation continues.</t>
  </si>
  <si>
    <t xml:space="preserve">T09-03</t>
  </si>
  <si>
    <t xml:space="preserve">Open chat as a customer.</t>
  </si>
  <si>
    <t xml:space="preserve">Own thread; staff see the customer's name.</t>
  </si>
  <si>
    <t xml:space="preserve">T09-04</t>
  </si>
  <si>
    <t xml:space="preserve">Ask a general question the built-in answers don't cover.</t>
  </si>
  <si>
    <t xml:space="preserve">Gemini AI reply (if AI Logic is on).</t>
  </si>
  <si>
    <t xml:space="preserve">REQ036</t>
  </si>
  <si>
    <t xml:space="preserve">T09-05</t>
  </si>
  <si>
    <t xml:space="preserve">Type 'talk to a person' / 'staff' / similar.</t>
  </si>
  <si>
    <t xml:space="preserve">Handed to staff ('waiting for staff').</t>
  </si>
  <si>
    <t xml:space="preserve">REQ037</t>
  </si>
  <si>
    <t xml:space="preserve">T09-06</t>
  </si>
  <si>
    <t xml:space="preserve">Describe a symptom (e.g. 'I have a headache').</t>
  </si>
  <si>
    <t xml:space="preserve">Matching product cards + fixed health caution + pharmacist hand-off offer.</t>
  </si>
  <si>
    <t xml:space="preserve">T09-07</t>
  </si>
  <si>
    <t xml:space="preserve">Ask in Filipino/Taglish (e.g. 'may gamot po ba kayo sa ubo?').</t>
  </si>
  <si>
    <t xml:space="preserve">Understands and answers sensibly.</t>
  </si>
  <si>
    <t xml:space="preserve">T09-08</t>
  </si>
  <si>
    <t xml:space="preserve">Ask 'where is my order?'.</t>
  </si>
  <si>
    <t xml:space="preserve">Order cards: items with photos, progress with dates, delivery/pick-up, Track rider.</t>
  </si>
  <si>
    <t xml:space="preserve">T09-09</t>
  </si>
  <si>
    <t xml:space="preserve">Message over 500 characters.</t>
  </si>
  <si>
    <t xml:space="preserve">Blocked or trimmed with a message.</t>
  </si>
  <si>
    <t xml:space="preserve">T09-10</t>
  </si>
  <si>
    <t xml:space="preserve">Ask for a diagnosis/dosage for a specific person.</t>
  </si>
  <si>
    <t xml:space="preserve">Refuses medical advice; suggests pharmacist/doctor.</t>
  </si>
  <si>
    <t xml:space="preserve">REQNF012</t>
  </si>
  <si>
    <t xml:space="preserve">T09-11</t>
  </si>
  <si>
    <t xml:space="preserve">Daily AI limit reached (set dailyAiLimit low in a test).</t>
  </si>
  <si>
    <t xml:space="preserve">New questions go to staff; no error.</t>
  </si>
  <si>
    <t xml:space="preserve">T09-12</t>
  </si>
  <si>
    <t xml:space="preserve">Staff replies from Admin &gt; Live Chat.</t>
  </si>
  <si>
    <t xml:space="preserve">Reply appears live in the widget.</t>
  </si>
  <si>
    <t xml:space="preserve">REQ109</t>
  </si>
  <si>
    <t xml:space="preserve">T10-01</t>
  </si>
  <si>
    <t xml:space="preserve">Every admin page</t>
  </si>
  <si>
    <t xml:space="preserve">Open each admin/*.html URL while logged out.</t>
  </si>
  <si>
    <t xml:space="preserve">Sent to login.</t>
  </si>
  <si>
    <t xml:space="preserve">T10-02</t>
  </si>
  <si>
    <t xml:space="preserve">Open each admin/*.html URL as a customer.</t>
  </si>
  <si>
    <t xml:space="preserve">Refused / sent back to the shop.</t>
  </si>
  <si>
    <t xml:space="preserve">T10-03</t>
  </si>
  <si>
    <t xml:space="preserve">Admin sidebar</t>
  </si>
  <si>
    <t xml:space="preserve">Check the sidebar.</t>
  </si>
  <si>
    <t xml:space="preserve">Only POS, Products (view-only), Settings.</t>
  </si>
  <si>
    <t xml:space="preserve">T10-04</t>
  </si>
  <si>
    <t xml:space="preserve">Admin URLs</t>
  </si>
  <si>
    <t xml:space="preserve">Type dashboard, online-orders, inventory, suppliers, customer-accounts, wholesale-accounts, audit-log, notifications, live-chat, reports, staff-management, clear-test-data URLs.</t>
  </si>
  <si>
    <t xml:space="preserve">Each sends Sales Staff to pos.html.</t>
  </si>
  <si>
    <t xml:space="preserve">T10-05</t>
  </si>
  <si>
    <t xml:space="preserve">Everything except Staff Management (and Clear Test Data).</t>
  </si>
  <si>
    <t xml:space="preserve">REQ120</t>
  </si>
  <si>
    <t xml:space="preserve">T10-06</t>
  </si>
  <si>
    <t xml:space="preserve">staff-management.html</t>
  </si>
  <si>
    <t xml:space="preserve">Open the URL directly.</t>
  </si>
  <si>
    <t xml:space="preserve">Refused / redirected.</t>
  </si>
  <si>
    <t xml:space="preserve">T10-07</t>
  </si>
  <si>
    <t xml:space="preserve">All pages.</t>
  </si>
  <si>
    <t xml:space="preserve">T10-08</t>
  </si>
  <si>
    <t xml:space="preserve">See 'Role Access' sheet</t>
  </si>
  <si>
    <t xml:space="preserve">Any staff</t>
  </si>
  <si>
    <t xml:space="preserve">Run every cell of the Role Access sheet.</t>
  </si>
  <si>
    <t xml:space="preserve">Matches the expected value.</t>
  </si>
  <si>
    <t xml:space="preserve">T11-01</t>
  </si>
  <si>
    <t xml:space="preserve">admin/dashboard.html</t>
  </si>
  <si>
    <t xml:space="preserve">Open the dashboard.</t>
  </si>
  <si>
    <t xml:space="preserve">Cards: today's sales, pending payment verification, active online orders, low stock, near-expiry, out-of-stock; figures match the data.</t>
  </si>
  <si>
    <t xml:space="preserve">REQ047</t>
  </si>
  <si>
    <t xml:space="preserve">T11-02</t>
  </si>
  <si>
    <t xml:space="preserve">Compare 'Active Online Orders' with the Online Orders page.</t>
  </si>
  <si>
    <t xml:space="preserve">Counts only open orders (not delivered/received/closed). Known issue REQ047 - note result.</t>
  </si>
  <si>
    <t xml:space="preserve">T11-03</t>
  </si>
  <si>
    <t xml:space="preserve">Today's orders: 'Online Orders' tab, then 'Walk-in Orders' tab.</t>
  </si>
  <si>
    <t xml:space="preserve">Each lists today's orders of that type.</t>
  </si>
  <si>
    <t xml:space="preserve">T11-04</t>
  </si>
  <si>
    <t xml:space="preserve">Range: Day.</t>
  </si>
  <si>
    <t xml:space="preserve">Chart and totals for one day.</t>
  </si>
  <si>
    <t xml:space="preserve">T11-05</t>
  </si>
  <si>
    <t xml:space="preserve">Range: Week.</t>
  </si>
  <si>
    <t xml:space="preserve">For one week.</t>
  </si>
  <si>
    <t xml:space="preserve">T11-06</t>
  </si>
  <si>
    <t xml:space="preserve">Range: Month.</t>
  </si>
  <si>
    <t xml:space="preserve">For one month.</t>
  </si>
  <si>
    <t xml:space="preserve">T11-07</t>
  </si>
  <si>
    <t xml:space="preserve">Range: Year.</t>
  </si>
  <si>
    <t xml:space="preserve">For one year.</t>
  </si>
  <si>
    <t xml:space="preserve">T11-08</t>
  </si>
  <si>
    <t xml:space="preserve">Prev / Next arrows for each range.</t>
  </si>
  <si>
    <t xml:space="preserve">Moves one period back/forward; label updates; Next stops at today.</t>
  </si>
  <si>
    <t xml:space="preserve">T11-09</t>
  </si>
  <si>
    <t xml:space="preserve">Date picker: choose a past date in each range mode.</t>
  </si>
  <si>
    <t xml:space="preserve">Jumps to the period containing that date.</t>
  </si>
  <si>
    <t xml:space="preserve">T11-10</t>
  </si>
  <si>
    <t xml:space="preserve">Analytics export: PDF, then Excel.</t>
  </si>
  <si>
    <t xml:space="preserve">Files download with the same figures as the screen.</t>
  </si>
  <si>
    <t xml:space="preserve">REQNF020</t>
  </si>
  <si>
    <t xml:space="preserve">T11-11</t>
  </si>
  <si>
    <t xml:space="preserve">SI lookup: '00008247' and '8247' (an existing SI), then a non-existent number.</t>
  </si>
  <si>
    <t xml:space="preserve">Both formats find the sale; unknown shows 'not found'.</t>
  </si>
  <si>
    <t xml:space="preserve">T11-12</t>
  </si>
  <si>
    <t xml:space="preserve">Click each 'View ...' link on the cards.</t>
  </si>
  <si>
    <t xml:space="preserve">Opens the right page/filter.</t>
  </si>
  <si>
    <t xml:space="preserve">T11-13</t>
  </si>
  <si>
    <t xml:space="preserve">Each report shortcut: Daily Sales, Customer File, Monthly Inventory, Supplier Purchases, Pull-Out, Return/Exchange, PO Discrepancy.</t>
  </si>
  <si>
    <t xml:space="preserve">Opens Reports with that type preselected.</t>
  </si>
  <si>
    <t xml:space="preserve">REQ111</t>
  </si>
  <si>
    <t xml:space="preserve">T11-14</t>
  </si>
  <si>
    <t xml:space="preserve">Export Report button.</t>
  </si>
  <si>
    <t xml:space="preserve">Downloads.</t>
  </si>
  <si>
    <t xml:space="preserve">T11-15</t>
  </si>
  <si>
    <t xml:space="preserve">Works for Technical Staff.</t>
  </si>
  <si>
    <t xml:space="preserve">T12-01</t>
  </si>
  <si>
    <t xml:space="preserve">admin/pos.html</t>
  </si>
  <si>
    <t xml:space="preserve">Search/select a product in the product picker.</t>
  </si>
  <si>
    <t xml:space="preserve">Searchable; shows price and stock; inactive / POS-unavailable products don't appear.</t>
  </si>
  <si>
    <t xml:space="preserve">REQ082</t>
  </si>
  <si>
    <t xml:space="preserve">T12-02</t>
  </si>
  <si>
    <t xml:space="preserve">Qty -, +, and typed quantity; Add.</t>
  </si>
  <si>
    <t xml:space="preserve">Line added; can't exceed sellable stock; 0 refused.</t>
  </si>
  <si>
    <t xml:space="preserve">T12-03</t>
  </si>
  <si>
    <t xml:space="preserve">Add the same product twice.</t>
  </si>
  <si>
    <t xml:space="preserve">Quantities merge (or second line), totals correct.</t>
  </si>
  <si>
    <t xml:space="preserve">T12-04</t>
  </si>
  <si>
    <t xml:space="preserve">Remove a line.</t>
  </si>
  <si>
    <t xml:space="preserve">Total updates.</t>
  </si>
  <si>
    <t xml:space="preserve">T12-05</t>
  </si>
  <si>
    <t xml:space="preserve">Payment: Cash with cash less than total.</t>
  </si>
  <si>
    <t xml:space="preserve">'Cash received is less than the total.'</t>
  </si>
  <si>
    <t xml:space="preserve">T12-06</t>
  </si>
  <si>
    <t xml:space="preserve">Payment: Cash with more than total.</t>
  </si>
  <si>
    <t xml:space="preserve">Correct change shown.</t>
  </si>
  <si>
    <t xml:space="preserve">T12-07</t>
  </si>
  <si>
    <t xml:space="preserve">Payment: G-Cash / QR Ph without reference no.</t>
  </si>
  <si>
    <t xml:space="preserve">Asks for the reference number.</t>
  </si>
  <si>
    <t xml:space="preserve">T12-08</t>
  </si>
  <si>
    <t xml:space="preserve">Payment: Bank Transfer with reference no.</t>
  </si>
  <si>
    <t xml:space="preserve">Sale completes; reference saved.</t>
  </si>
  <si>
    <t xml:space="preserve">T12-09</t>
  </si>
  <si>
    <t xml:space="preserve">Payment: Terminal (Card) with reference no.</t>
  </si>
  <si>
    <t xml:space="preserve">Sale completes.</t>
  </si>
  <si>
    <t xml:space="preserve">T12-10</t>
  </si>
  <si>
    <t xml:space="preserve">Payment: Credit (pay later) with customer name.</t>
  </si>
  <si>
    <t xml:space="preserve">Sale completes as credit under that name.</t>
  </si>
  <si>
    <t xml:space="preserve">T12-11</t>
  </si>
  <si>
    <t xml:space="preserve">Customer name blank.</t>
  </si>
  <si>
    <t xml:space="preserve">Saved as 'Walk-in'.</t>
  </si>
  <si>
    <t xml:space="preserve">T12-12</t>
  </si>
  <si>
    <t xml:space="preserve">Rx item without ticking RX Verified.</t>
  </si>
  <si>
    <t xml:space="preserve">Blocked: tick RX Verified first.</t>
  </si>
  <si>
    <t xml:space="preserve">REQ084</t>
  </si>
  <si>
    <t xml:space="preserve">T12-13</t>
  </si>
  <si>
    <t xml:space="preserve">Rx item with RX Verified + optional notes.</t>
  </si>
  <si>
    <t xml:space="preserve">Completes; notes saved; no upload needed.</t>
  </si>
  <si>
    <t xml:space="preserve">T12-14</t>
  </si>
  <si>
    <t xml:space="preserve">Complete Sale &gt; receipt preview &gt; Edit Transaction.</t>
  </si>
  <si>
    <t xml:space="preserve">Back to the cart unchanged; nothing saved or deducted yet.</t>
  </si>
  <si>
    <t xml:space="preserve">T12-15</t>
  </si>
  <si>
    <t xml:space="preserve">Complete Sale &gt; Confirm.</t>
  </si>
  <si>
    <t xml:space="preserve">SI No. assigned; receipt prints/downloads; stock deducted FEFO.</t>
  </si>
  <si>
    <t xml:space="preserve">REQ065, REQ092</t>
  </si>
  <si>
    <t xml:space="preserve">T12-16</t>
  </si>
  <si>
    <t xml:space="preserve">Two cashiers sell the last unit at the same time.</t>
  </si>
  <si>
    <t xml:space="preserve">Only one succeeds; stock never negative.</t>
  </si>
  <si>
    <t xml:space="preserve">T12-17</t>
  </si>
  <si>
    <t xml:space="preserve">Today's Sales list; Refresh.</t>
  </si>
  <si>
    <t xml:space="preserve">Today's sales show live; Refresh reloads.</t>
  </si>
  <si>
    <t xml:space="preserve">T12-18</t>
  </si>
  <si>
    <t xml:space="preserve">Try to void a sale as Sales Staff.</t>
  </si>
  <si>
    <t xml:space="preserve">No void option (voids are BM/Technical only).</t>
  </si>
  <si>
    <t xml:space="preserve">REQ083</t>
  </si>
  <si>
    <t xml:space="preserve">T12-19</t>
  </si>
  <si>
    <t xml:space="preserve">Void a whole sale: reason + Branch Manager email/password.</t>
  </si>
  <si>
    <t xml:space="preserve">Voided; stock back to the same batches; audit entry.</t>
  </si>
  <si>
    <t xml:space="preserve">T12-20</t>
  </si>
  <si>
    <t xml:space="preserve">Void with a wrong BM password / a non-BM email.</t>
  </si>
  <si>
    <t xml:space="preserve">T12-21</t>
  </si>
  <si>
    <t xml:space="preserve">Void a single item of a sale (item-level).</t>
  </si>
  <si>
    <t xml:space="preserve">Only that item restored; sale total updated.</t>
  </si>
  <si>
    <t xml:space="preserve">T12-22</t>
  </si>
  <si>
    <t xml:space="preserve">Void with exchange note + price difference.</t>
  </si>
  <si>
    <t xml:space="preserve">Saved on the void; shows in the audit log.</t>
  </si>
  <si>
    <t xml:space="preserve">T12-23</t>
  </si>
  <si>
    <t xml:space="preserve">Void without a reason.</t>
  </si>
  <si>
    <t xml:space="preserve">T12-24</t>
  </si>
  <si>
    <t xml:space="preserve">Voided sale in Today's Sales.</t>
  </si>
  <si>
    <t xml:space="preserve">'Voided' badge; View shows the details.</t>
  </si>
  <si>
    <t xml:space="preserve">T13-01</t>
  </si>
  <si>
    <t xml:space="preserve">admin/online-orders.html &gt; Payment Verification</t>
  </si>
  <si>
    <t xml:space="preserve">Open the queue.</t>
  </si>
  <si>
    <t xml:space="preserve">Orders with proof waiting, oldest first (first come, first served).</t>
  </si>
  <si>
    <t xml:space="preserve">REQ094</t>
  </si>
  <si>
    <t xml:space="preserve">T13-02</t>
  </si>
  <si>
    <t xml:space="preserve">Sort button.</t>
  </si>
  <si>
    <t xml:space="preserve">Toggles oldest/newest first.</t>
  </si>
  <si>
    <t xml:space="preserve">T13-03</t>
  </si>
  <si>
    <t xml:space="preserve">Search by order number, then by customer name.</t>
  </si>
  <si>
    <t xml:space="preserve">Matches only.</t>
  </si>
  <si>
    <t xml:space="preserve">REQ074</t>
  </si>
  <si>
    <t xml:space="preserve">T13-04</t>
  </si>
  <si>
    <t xml:space="preserve">Type filter: All orders.</t>
  </si>
  <si>
    <t xml:space="preserve">Every waiting order.</t>
  </si>
  <si>
    <t xml:space="preserve">REQ077</t>
  </si>
  <si>
    <t xml:space="preserve">T13-05</t>
  </si>
  <si>
    <t xml:space="preserve">Type filter: Prescription (RX) pre-orders only.</t>
  </si>
  <si>
    <t xml:space="preserve">Only RX orders, with RX badge.</t>
  </si>
  <si>
    <t xml:space="preserve">T13-06</t>
  </si>
  <si>
    <t xml:space="preserve">Type filter: Non-prescription orders only.</t>
  </si>
  <si>
    <t xml:space="preserve">Only non-RX.</t>
  </si>
  <si>
    <t xml:space="preserve">T13-07</t>
  </si>
  <si>
    <t xml:space="preserve">Select an order.</t>
  </si>
  <si>
    <t xml:space="preserve">Payment screenshot, reference no., items, total; RX shows the prescription too.</t>
  </si>
  <si>
    <t xml:space="preserve">T13-08</t>
  </si>
  <si>
    <t xml:space="preserve">Approve Payment (non-RX).</t>
  </si>
  <si>
    <t xml:space="preserve">Payment Confirmed; SI assigned; stock reserved FEFO; customer notified (bell + email).</t>
  </si>
  <si>
    <t xml:space="preserve">REQ076, REQ101, REQ102</t>
  </si>
  <si>
    <t xml:space="preserve">T13-09</t>
  </si>
  <si>
    <t xml:space="preserve">Approve when an item ran out.</t>
  </si>
  <si>
    <t xml:space="preserve">Goes On Hold - Out of Stock automatically.</t>
  </si>
  <si>
    <t xml:space="preserve">T13-10</t>
  </si>
  <si>
    <t xml:space="preserve">Payment Issue: Invalid payment &gt; reason 'Screenshot is blurry or unreadable' &gt; Confirm.</t>
  </si>
  <si>
    <t xml:space="preserve">On Hold; customer told to re-upload.</t>
  </si>
  <si>
    <t xml:space="preserve">T13-11</t>
  </si>
  <si>
    <t xml:space="preserve">Invalid payment &gt; reason 'Screenshot does not show a complete transaction'.</t>
  </si>
  <si>
    <t xml:space="preserve">On Hold with that note.</t>
  </si>
  <si>
    <t xml:space="preserve">T13-12</t>
  </si>
  <si>
    <t xml:space="preserve">Invalid payment &gt; reason 'Payment not received'.</t>
  </si>
  <si>
    <t xml:space="preserve">T13-13</t>
  </si>
  <si>
    <t xml:space="preserve">Invalid payment &gt; reason 'Other' with custom note.</t>
  </si>
  <si>
    <t xml:space="preserve">Custom note sent.</t>
  </si>
  <si>
    <t xml:space="preserve">T13-14</t>
  </si>
  <si>
    <t xml:space="preserve">Payment Issue: Payment not received.</t>
  </si>
  <si>
    <t xml:space="preserve">Own hold type; customer sees re-upload needed.</t>
  </si>
  <si>
    <t xml:space="preserve">T13-15</t>
  </si>
  <si>
    <t xml:space="preserve">Payment Issue: Underpayment, amount received less than total.</t>
  </si>
  <si>
    <t xml:space="preserve">On Hold with outstanding balance.</t>
  </si>
  <si>
    <t xml:space="preserve">T13-16</t>
  </si>
  <si>
    <t xml:space="preserve">Payment Issue: Overpayment, amount received more than total.</t>
  </si>
  <si>
    <t xml:space="preserve">Approved; excess added to store credit; customer notified.</t>
  </si>
  <si>
    <t xml:space="preserve">T13-17</t>
  </si>
  <si>
    <t xml:space="preserve">Overpayment/underpayment with empty or invalid amount.</t>
  </si>
  <si>
    <t xml:space="preserve">T13-18</t>
  </si>
  <si>
    <t xml:space="preserve">Hold modal: Cancel.</t>
  </si>
  <si>
    <t xml:space="preserve">T13-19</t>
  </si>
  <si>
    <t xml:space="preserve">Resubmitted order returns to the queue; approve it.</t>
  </si>
  <si>
    <t xml:space="preserve">Old hold cleared; Payment Confirmed; customer notified (check REQ098 bug).</t>
  </si>
  <si>
    <t xml:space="preserve">T13-20</t>
  </si>
  <si>
    <t xml:space="preserve">RX order: Approve.</t>
  </si>
  <si>
    <t xml:space="preserve">Ready for Pick-up; stock reserved; 'ready for pick-up' notice.</t>
  </si>
  <si>
    <t xml:space="preserve">REQ078</t>
  </si>
  <si>
    <t xml:space="preserve">T13-21</t>
  </si>
  <si>
    <t xml:space="preserve">RX order: Reject Prescription with each reason: Unclear photo, Expired prescription, Doesn't match items ordered, Missing doctor's details, Other.</t>
  </si>
  <si>
    <t xml:space="preserve">On Hold - prescription not accepted; reason text sent to the customer.</t>
  </si>
  <si>
    <t xml:space="preserve">T13-22</t>
  </si>
  <si>
    <t xml:space="preserve">Reject Prescription with no reason.</t>
  </si>
  <si>
    <t xml:space="preserve">T13-23</t>
  </si>
  <si>
    <t xml:space="preserve">RX order: look for a delivery/dispatch option.</t>
  </si>
  <si>
    <t xml:space="preserve">None - RX is pick-up only.</t>
  </si>
  <si>
    <t xml:space="preserve">REQ080</t>
  </si>
  <si>
    <t xml:space="preserve">T13-24</t>
  </si>
  <si>
    <t xml:space="preserve">After any action, open the order's history.</t>
  </si>
  <si>
    <t xml:space="preserve">Who, when and what is recorded.</t>
  </si>
  <si>
    <t xml:space="preserve">REQ081</t>
  </si>
  <si>
    <t xml:space="preserve">T14-01</t>
  </si>
  <si>
    <t xml:space="preserve">admin/online-orders.html &gt; Online Orders</t>
  </si>
  <si>
    <t xml:space="preserve">Filter: All Orders (count).</t>
  </si>
  <si>
    <t xml:space="preserve">Every online order; count correct.</t>
  </si>
  <si>
    <t xml:space="preserve">T14-02</t>
  </si>
  <si>
    <t xml:space="preserve">Filter: Completed.</t>
  </si>
  <si>
    <t xml:space="preserve">Only completed (received/delivered/closed as designed).</t>
  </si>
  <si>
    <t xml:space="preserve">T14-03</t>
  </si>
  <si>
    <t xml:space="preserve">Filter: Pending.</t>
  </si>
  <si>
    <t xml:space="preserve">Only not-yet-completed orders.</t>
  </si>
  <si>
    <t xml:space="preserve">T14-04</t>
  </si>
  <si>
    <t xml:space="preserve">Search: order number, SI number, reference number.</t>
  </si>
  <si>
    <t xml:space="preserve">Each finds the order.</t>
  </si>
  <si>
    <t xml:space="preserve">T14-05</t>
  </si>
  <si>
    <t xml:space="preserve">Sort field: Date Created, ascending and descending.</t>
  </si>
  <si>
    <t xml:space="preserve">Ordered by placement date.</t>
  </si>
  <si>
    <t xml:space="preserve">T14-06</t>
  </si>
  <si>
    <t xml:space="preserve">Sort field: Last Updated, ascending and descending.</t>
  </si>
  <si>
    <t xml:space="preserve">Ordered by latest action (default newest first).</t>
  </si>
  <si>
    <t xml:space="preserve">T14-07</t>
  </si>
  <si>
    <t xml:space="preserve">Filter + search + sort together; pagination.</t>
  </si>
  <si>
    <t xml:space="preserve">All apply; pages correct.</t>
  </si>
  <si>
    <t xml:space="preserve">T14-08</t>
  </si>
  <si>
    <t xml:space="preserve">Approved modal: Copy buttons (each field) and Copy All Delivery Details.</t>
  </si>
  <si>
    <t xml:space="preserve">Clipboard gets name, address, contact, schedule, order no.</t>
  </si>
  <si>
    <t xml:space="preserve">T14-09</t>
  </si>
  <si>
    <t xml:space="preserve">'Go to Lalamove Web Portal'.</t>
  </si>
  <si>
    <t xml:space="preserve">Opens web.lalamove.com in a new tab.</t>
  </si>
  <si>
    <t xml:space="preserve">T14-10</t>
  </si>
  <si>
    <t xml:space="preserve">Mark as Dispatched with a bad tracking link (e.g. https://evil.com/share.lalamove.com).</t>
  </si>
  <si>
    <t xml:space="preserve">Refused; only https://share.lalamove.com/... accepted.</t>
  </si>
  <si>
    <t xml:space="preserve">REQ104</t>
  </si>
  <si>
    <t xml:space="preserve">T14-11</t>
  </si>
  <si>
    <t xml:space="preserve">Mark as Dispatched with a valid link, Lalamove fee and internal notes.</t>
  </si>
  <si>
    <t xml:space="preserve">Dispatched; customer sees the link; notes stay internal.</t>
  </si>
  <si>
    <t xml:space="preserve">REQ104, REQ107</t>
  </si>
  <si>
    <t xml:space="preserve">T14-12</t>
  </si>
  <si>
    <t xml:space="preserve">Lalamove fee negative/blank.</t>
  </si>
  <si>
    <t xml:space="preserve">Validation error (or blank allowed as designed).</t>
  </si>
  <si>
    <t xml:space="preserve">T14-13</t>
  </si>
  <si>
    <t xml:space="preserve">Advance a dispatched order to Delivered.</t>
  </si>
  <si>
    <t xml:space="preserve">Delivered; customer can confirm receipt.</t>
  </si>
  <si>
    <t xml:space="preserve">T14-14</t>
  </si>
  <si>
    <t xml:space="preserve">RX order: mark picked up.</t>
  </si>
  <si>
    <t xml:space="preserve">Picked Up / Received.</t>
  </si>
  <si>
    <t xml:space="preserve">T14-15</t>
  </si>
  <si>
    <t xml:space="preserve">'View Order Queue' / Back / Got it / Close buttons.</t>
  </si>
  <si>
    <t xml:space="preserve">Navigate correctly.</t>
  </si>
  <si>
    <t xml:space="preserve">T14-16</t>
  </si>
  <si>
    <t xml:space="preserve">New order arrives while the page is open.</t>
  </si>
  <si>
    <t xml:space="preserve">Appears without refresh.</t>
  </si>
  <si>
    <t xml:space="preserve">T15-01</t>
  </si>
  <si>
    <t xml:space="preserve">admin/online-orders.html &gt; Walk-in Orders</t>
  </si>
  <si>
    <t xml:space="preserve">Search by SI no.</t>
  </si>
  <si>
    <t xml:space="preserve">Finds the sale.</t>
  </si>
  <si>
    <t xml:space="preserve">T15-02</t>
  </si>
  <si>
    <t xml:space="preserve">Search by reference no.</t>
  </si>
  <si>
    <t xml:space="preserve">Finds it.</t>
  </si>
  <si>
    <t xml:space="preserve">T15-03</t>
  </si>
  <si>
    <t xml:space="preserve">Search by customer name.</t>
  </si>
  <si>
    <t xml:space="preserve">T15-04</t>
  </si>
  <si>
    <t xml:space="preserve">Search by cashier.</t>
  </si>
  <si>
    <t xml:space="preserve">Finds that cashier's sales.</t>
  </si>
  <si>
    <t xml:space="preserve">T15-05</t>
  </si>
  <si>
    <t xml:space="preserve">Search by product name.</t>
  </si>
  <si>
    <t xml:space="preserve">Finds sales containing it.</t>
  </si>
  <si>
    <t xml:space="preserve">T15-06</t>
  </si>
  <si>
    <t xml:space="preserve">View a sale; Void from here (with BM approval).</t>
  </si>
  <si>
    <t xml:space="preserve">Same void flow as POS.</t>
  </si>
  <si>
    <t xml:space="preserve">T16-01</t>
  </si>
  <si>
    <t xml:space="preserve">admin/products.html</t>
  </si>
  <si>
    <t xml:space="preserve">Tab: All.</t>
  </si>
  <si>
    <t xml:space="preserve">All products.</t>
  </si>
  <si>
    <t xml:space="preserve">T16-02</t>
  </si>
  <si>
    <t xml:space="preserve">Tab: Active.</t>
  </si>
  <si>
    <t xml:space="preserve">Active only.</t>
  </si>
  <si>
    <t xml:space="preserve">T16-03</t>
  </si>
  <si>
    <t xml:space="preserve">Tab: Inactive.</t>
  </si>
  <si>
    <t xml:space="preserve">Inactive only (incl. 'Price pending').</t>
  </si>
  <si>
    <t xml:space="preserve">T16-04</t>
  </si>
  <si>
    <t xml:space="preserve">Search by product name, generic name, SKU.</t>
  </si>
  <si>
    <t xml:space="preserve">Each finds it.</t>
  </si>
  <si>
    <t xml:space="preserve">T16-05</t>
  </si>
  <si>
    <t xml:space="preserve">Toggles order.</t>
  </si>
  <si>
    <t xml:space="preserve">T16-06</t>
  </si>
  <si>
    <t xml:space="preserve">Tab + search + sort; pagination (8 per page).</t>
  </si>
  <si>
    <t xml:space="preserve">T16-07</t>
  </si>
  <si>
    <t xml:space="preserve">Add Products: fill every field (name, generic, brand, category, costing, retail, wholesale, reorder point, description, dosage notes, image, Available POS/Online, Rx Yes/No, Active/Inactive).</t>
  </si>
  <si>
    <t xml:space="preserve">Saved; shows in the list and the shop as set.</t>
  </si>
  <si>
    <t xml:space="preserve">REQ068</t>
  </si>
  <si>
    <t xml:space="preserve">T16-08</t>
  </si>
  <si>
    <t xml:space="preserve">Add product with missing required fields / negative prices.</t>
  </si>
  <si>
    <t xml:space="preserve">T16-09</t>
  </si>
  <si>
    <t xml:space="preserve">Rx: Yes.</t>
  </si>
  <si>
    <t xml:space="preserve">Product requires prescription online and RX Verified at POS.</t>
  </si>
  <si>
    <t xml:space="preserve">T16-10</t>
  </si>
  <si>
    <t xml:space="preserve">Available online off / POS off.</t>
  </si>
  <si>
    <t xml:space="preserve">Hidden from the shop / POS respectively.</t>
  </si>
  <si>
    <t xml:space="preserve">T16-11</t>
  </si>
  <si>
    <t xml:space="preserve">Edit a price: confirm step asks for a reason.</t>
  </si>
  <si>
    <t xml:space="preserve">Saved only after confirm + reason; audit log shows old/new price + reason.</t>
  </si>
  <si>
    <t xml:space="preserve">REQ072, REQ073</t>
  </si>
  <si>
    <t xml:space="preserve">T16-12</t>
  </si>
  <si>
    <t xml:space="preserve">Price lock toggle on, then try to change price.</t>
  </si>
  <si>
    <t xml:space="preserve">Locked until unlocked by the BM.</t>
  </si>
  <si>
    <t xml:space="preserve">REQ071</t>
  </si>
  <si>
    <t xml:space="preserve">T16-13</t>
  </si>
  <si>
    <t xml:space="preserve">Add a product.</t>
  </si>
  <si>
    <t xml:space="preserve">Price fields locked; saved Inactive with 'Price pending'.</t>
  </si>
  <si>
    <t xml:space="preserve">T16-14</t>
  </si>
  <si>
    <t xml:space="preserve">Edit a product's non-price fields.</t>
  </si>
  <si>
    <t xml:space="preserve">Works.</t>
  </si>
  <si>
    <t xml:space="preserve">T16-15</t>
  </si>
  <si>
    <t xml:space="preserve">Try to edit a price or make a price-pending product Active.</t>
  </si>
  <si>
    <t xml:space="preserve">Not allowed.</t>
  </si>
  <si>
    <t xml:space="preserve">T16-16</t>
  </si>
  <si>
    <t xml:space="preserve">Open products.</t>
  </si>
  <si>
    <t xml:space="preserve">View-only: no add/edit/delete/upload buttons.</t>
  </si>
  <si>
    <t xml:space="preserve">T16-17</t>
  </si>
  <si>
    <t xml:space="preserve">Delete a product.</t>
  </si>
  <si>
    <t xml:space="preserve">Confirm dialog; removed.</t>
  </si>
  <si>
    <t xml:space="preserve">T16-18</t>
  </si>
  <si>
    <t xml:space="preserve">Upload Batch File: download template, fill, upload.</t>
  </si>
  <si>
    <t xml:space="preserve">Review table shows rows; Confirm Import adds them.</t>
  </si>
  <si>
    <t xml:space="preserve">REQ064</t>
  </si>
  <si>
    <t xml:space="preserve">T16-19</t>
  </si>
  <si>
    <t xml:space="preserve">Batch review: Add Row, edit a cell, Remove duplicates, Cancel.</t>
  </si>
  <si>
    <t xml:space="preserve">Each works; Cancel imports nothing.</t>
  </si>
  <si>
    <t xml:space="preserve">T16-20</t>
  </si>
  <si>
    <t xml:space="preserve">Batch file with bad rows (missing name, text in price, unknown category).</t>
  </si>
  <si>
    <t xml:space="preserve">Rows flagged; not imported silently.</t>
  </si>
  <si>
    <t xml:space="preserve">T16-21</t>
  </si>
  <si>
    <t xml:space="preserve">Batch import as Technical Staff.</t>
  </si>
  <si>
    <t xml:space="preserve">Products saved without prices, Inactive, Price pending.</t>
  </si>
  <si>
    <t xml:space="preserve">T16-22</t>
  </si>
  <si>
    <t xml:space="preserve">Import the client's April price list files (demo 50 + Generics x5 + Medical Supplies).</t>
  </si>
  <si>
    <t xml:space="preserve">1,130 products; only the 50 demo products online.</t>
  </si>
  <si>
    <t xml:space="preserve">T16-23</t>
  </si>
  <si>
    <t xml:space="preserve">admin/products.html &gt; Manage Categories</t>
  </si>
  <si>
    <t xml:space="preserve">'Add the branch's categories' button.</t>
  </si>
  <si>
    <t xml:space="preserve">Generics, Branded, Drugstore (Per Piece), Medical Supplies added once (no duplicates).</t>
  </si>
  <si>
    <t xml:space="preserve">REQ070</t>
  </si>
  <si>
    <t xml:space="preserve">T16-24</t>
  </si>
  <si>
    <t xml:space="preserve">Add a new category; add a duplicate/blank name.</t>
  </si>
  <si>
    <t xml:space="preserve">New added; duplicate/blank refused.</t>
  </si>
  <si>
    <t xml:space="preserve">T16-25</t>
  </si>
  <si>
    <t xml:space="preserve">Rename a category.</t>
  </si>
  <si>
    <t xml:space="preserve">App dialog (not browser prompt); products keep it.</t>
  </si>
  <si>
    <t xml:space="preserve">T16-26</t>
  </si>
  <si>
    <t xml:space="preserve">Delete a category that has products.</t>
  </si>
  <si>
    <t xml:space="preserve">Asks where to move the products.</t>
  </si>
  <si>
    <t xml:space="preserve">T16-27</t>
  </si>
  <si>
    <t xml:space="preserve">admin/products.html &gt; Upload Photos</t>
  </si>
  <si>
    <t xml:space="preserve">Pick several photos named after products (e.g. 'losaar 50.jpg').</t>
  </si>
  <si>
    <t xml:space="preserve">Each matched to a product by file name.</t>
  </si>
  <si>
    <t xml:space="preserve">T16-28</t>
  </si>
  <si>
    <t xml:space="preserve">Photo tabs: All, Needs a product, Ready.</t>
  </si>
  <si>
    <t xml:space="preserve">Each shows the right photos and counts.</t>
  </si>
  <si>
    <t xml:space="preserve">T16-29</t>
  </si>
  <si>
    <t xml:space="preserve">Select all; fix an unmatched photo; Back; Next: Check Matches; Save Photos.</t>
  </si>
  <si>
    <t xml:space="preserve">Photos attach to the right products; shop shows them.</t>
  </si>
  <si>
    <t xml:space="preserve">T17-01</t>
  </si>
  <si>
    <t xml:space="preserve">admin/inventory.html &gt; Stock</t>
  </si>
  <si>
    <t xml:space="preserve">Status tab: All.</t>
  </si>
  <si>
    <t xml:space="preserve">Every batch.</t>
  </si>
  <si>
    <t xml:space="preserve">REQ049</t>
  </si>
  <si>
    <t xml:space="preserve">T17-02</t>
  </si>
  <si>
    <t xml:space="preserve">Status tab: Low Stock.</t>
  </si>
  <si>
    <t xml:space="preserve">Products at or below their reorder point (default 20).</t>
  </si>
  <si>
    <t xml:space="preserve">T17-03</t>
  </si>
  <si>
    <t xml:space="preserve">Status tab: Out of Stock.</t>
  </si>
  <si>
    <t xml:space="preserve">Zero sellable stock.</t>
  </si>
  <si>
    <t xml:space="preserve">T17-04</t>
  </si>
  <si>
    <t xml:space="preserve">Status tab: Near-Expiry.</t>
  </si>
  <si>
    <t xml:space="preserve">Batches expiring within 6 months (not sellable retail).</t>
  </si>
  <si>
    <t xml:space="preserve">T17-05</t>
  </si>
  <si>
    <t xml:space="preserve">Status tab: Expired.</t>
  </si>
  <si>
    <t xml:space="preserve">Expired batches.</t>
  </si>
  <si>
    <t xml:space="preserve">T17-06</t>
  </si>
  <si>
    <t xml:space="preserve">Search by product name, batch no., category.</t>
  </si>
  <si>
    <t xml:space="preserve">Each finds the batch.</t>
  </si>
  <si>
    <t xml:space="preserve">T17-07</t>
  </si>
  <si>
    <t xml:space="preserve">Sort: Expiration Date asc/desc.</t>
  </si>
  <si>
    <t xml:space="preserve">Ordered by expiry.</t>
  </si>
  <si>
    <t xml:space="preserve">T17-08</t>
  </si>
  <si>
    <t xml:space="preserve">Sort: Last Updated asc/desc.</t>
  </si>
  <si>
    <t xml:space="preserve">Ordered by last change.</t>
  </si>
  <si>
    <t xml:space="preserve">T17-09</t>
  </si>
  <si>
    <t xml:space="preserve">All apply.</t>
  </si>
  <si>
    <t xml:space="preserve">T17-10</t>
  </si>
  <si>
    <t xml:space="preserve">Batch row shows supplier and receipt/DR no.</t>
  </si>
  <si>
    <t xml:space="preserve">Shown.</t>
  </si>
  <si>
    <t xml:space="preserve">T17-11</t>
  </si>
  <si>
    <t xml:space="preserve">Export Report.</t>
  </si>
  <si>
    <t xml:space="preserve">Downloads current stock.</t>
  </si>
  <si>
    <t xml:space="preserve">T17-12</t>
  </si>
  <si>
    <t xml:space="preserve">'Monthly Reports' button.</t>
  </si>
  <si>
    <t xml:space="preserve">Opens Reports &gt; Monthly Inventory.</t>
  </si>
  <si>
    <t xml:space="preserve">REQ112</t>
  </si>
  <si>
    <t xml:space="preserve">T17-13</t>
  </si>
  <si>
    <t xml:space="preserve">Sell/receive in another tab while Inventory is open.</t>
  </si>
  <si>
    <t xml:space="preserve">Updates live.</t>
  </si>
  <si>
    <t xml:space="preserve">T18-01</t>
  </si>
  <si>
    <t xml:space="preserve">Inventory/POS/Online</t>
  </si>
  <si>
    <t xml:space="preserve">Two batches of one product (earlier and later expiry); sell 1 at POS.</t>
  </si>
  <si>
    <t xml:space="preserve">Deducted from the earliest-expiring sellable batch.</t>
  </si>
  <si>
    <t xml:space="preserve">REQ065</t>
  </si>
  <si>
    <t xml:space="preserve">T18-02</t>
  </si>
  <si>
    <t xml:space="preserve">Approve an online order for that product.</t>
  </si>
  <si>
    <t xml:space="preserve">Also FEFO.</t>
  </si>
  <si>
    <t xml:space="preserve">REQ076</t>
  </si>
  <si>
    <t xml:space="preserve">T18-03</t>
  </si>
  <si>
    <t xml:space="preserve">Inventory</t>
  </si>
  <si>
    <t xml:space="preserve">Batch expiring in 5 months.</t>
  </si>
  <si>
    <t xml:space="preserve">Near-Expiry; excluded from retail stock online and at POS.</t>
  </si>
  <si>
    <t xml:space="preserve">T18-04</t>
  </si>
  <si>
    <t xml:space="preserve">Wholesale</t>
  </si>
  <si>
    <t xml:space="preserve">Near-expiry batch in a wholesale order.</t>
  </si>
  <si>
    <t xml:space="preserve">Only allowed as free-of-cost.</t>
  </si>
  <si>
    <t xml:space="preserve">REQ066, REQ091</t>
  </si>
  <si>
    <t xml:space="preserve">T18-05</t>
  </si>
  <si>
    <t xml:space="preserve">Batch expiring within 2 months (or expired).</t>
  </si>
  <si>
    <t xml:space="preserve">Becomes Bad Order: remaining units written off automatically, write-off + audit entry, disposal alert.</t>
  </si>
  <si>
    <t xml:space="preserve">REQ067</t>
  </si>
  <si>
    <t xml:space="preserve">T18-06</t>
  </si>
  <si>
    <t xml:space="preserve">Inventory / Notifications</t>
  </si>
  <si>
    <t xml:space="preserve">Bad Order alert &gt; Mark disposed.</t>
  </si>
  <si>
    <t xml:space="preserve">Alert clears.</t>
  </si>
  <si>
    <t xml:space="preserve">T18-07</t>
  </si>
  <si>
    <t xml:space="preserve">POS / Shop</t>
  </si>
  <si>
    <t xml:space="preserve">Try to sell an expired batch.</t>
  </si>
  <si>
    <t xml:space="preserve">Never sold.</t>
  </si>
  <si>
    <t xml:space="preserve">T19-01</t>
  </si>
  <si>
    <t xml:space="preserve">admin/inventory.html &gt; Receive Stock</t>
  </si>
  <si>
    <t xml:space="preserve">Receive: supplier, date, receipt no., product, batch, expiry, qty, unit cost &gt; Receive Stock.</t>
  </si>
  <si>
    <t xml:space="preserve">Stock added at once; audit entry.</t>
  </si>
  <si>
    <t xml:space="preserve">REQ062, REQ063</t>
  </si>
  <si>
    <t xml:space="preserve">T19-02</t>
  </si>
  <si>
    <t xml:space="preserve">Missing batch/expiry/qty, past expiry, 0 qty.</t>
  </si>
  <si>
    <t xml:space="preserve">REQ062</t>
  </si>
  <si>
    <t xml:space="preserve">T19-03</t>
  </si>
  <si>
    <t xml:space="preserve">'+ Add another item' (several lines) and remove a line.</t>
  </si>
  <si>
    <t xml:space="preserve">All lines saved.</t>
  </si>
  <si>
    <t xml:space="preserve">T19-04</t>
  </si>
  <si>
    <t xml:space="preserve">'+ New Supplier' quick add (name, contact, phone).</t>
  </si>
  <si>
    <t xml:space="preserve">Added and selected; Cancel adds nothing.</t>
  </si>
  <si>
    <t xml:space="preserve">T19-05</t>
  </si>
  <si>
    <t xml:space="preserve">Quick add product from receiving (name, category, price).</t>
  </si>
  <si>
    <t xml:space="preserve">Product created and selectable.</t>
  </si>
  <si>
    <t xml:space="preserve">T19-06</t>
  </si>
  <si>
    <t xml:space="preserve">Quick add product as Technical Staff.</t>
  </si>
  <si>
    <t xml:space="preserve">Saved without price (Price pending).</t>
  </si>
  <si>
    <t xml:space="preserve">T19-07</t>
  </si>
  <si>
    <t xml:space="preserve">Upload Batch File: download template (sku, batchNo, expiryDate, qtyReceived, unitCost, supplierName, receiptNo, dateReceived), upload.</t>
  </si>
  <si>
    <t xml:space="preserve">Review table; Add Row; Confirm Import adds stock.</t>
  </si>
  <si>
    <t xml:space="preserve">T19-08</t>
  </si>
  <si>
    <t xml:space="preserve">Batch file with unknown SKU / bad date / Excel date cells.</t>
  </si>
  <si>
    <t xml:space="preserve">Unknown flagged; Excel dates read correctly (not a day early).</t>
  </si>
  <si>
    <t xml:space="preserve">T20-01</t>
  </si>
  <si>
    <t xml:space="preserve">admin/inventory.html &gt; Write Off Stock</t>
  </si>
  <si>
    <t xml:space="preserve">Write off with date, items, qty, reason.</t>
  </si>
  <si>
    <t xml:space="preserve">Stock reduced; write-off + audit entry.</t>
  </si>
  <si>
    <t xml:space="preserve">REQ051</t>
  </si>
  <si>
    <t xml:space="preserve">T20-02</t>
  </si>
  <si>
    <t xml:space="preserve">Write off without a reason.</t>
  </si>
  <si>
    <t xml:space="preserve">REQ052</t>
  </si>
  <si>
    <t xml:space="preserve">T20-03</t>
  </si>
  <si>
    <t xml:space="preserve">Write off more than the batch has.</t>
  </si>
  <si>
    <t xml:space="preserve">T20-04</t>
  </si>
  <si>
    <t xml:space="preserve">'+ Add another item'; Cancel.</t>
  </si>
  <si>
    <t xml:space="preserve">Work; Cancel saves nothing.</t>
  </si>
  <si>
    <t xml:space="preserve">T21-01</t>
  </si>
  <si>
    <t xml:space="preserve">admin/inventory.html &gt; Purchase Orders</t>
  </si>
  <si>
    <t xml:space="preserve">Create Purchase Order: supplier, expected date, items, quantities.</t>
  </si>
  <si>
    <t xml:space="preserve">Saved as Pending with a PO number.</t>
  </si>
  <si>
    <t xml:space="preserve">REQ053</t>
  </si>
  <si>
    <t xml:space="preserve">T21-02</t>
  </si>
  <si>
    <t xml:space="preserve">Create PO with no items / no supplier.</t>
  </si>
  <si>
    <t xml:space="preserve">T21-03</t>
  </si>
  <si>
    <t xml:space="preserve">Filter: All.</t>
  </si>
  <si>
    <t xml:space="preserve">Every PO.</t>
  </si>
  <si>
    <t xml:space="preserve">T21-04</t>
  </si>
  <si>
    <t xml:space="preserve">Only pending.</t>
  </si>
  <si>
    <t xml:space="preserve">T21-05</t>
  </si>
  <si>
    <t xml:space="preserve">Filter: Received.</t>
  </si>
  <si>
    <t xml:space="preserve">Only received.</t>
  </si>
  <si>
    <t xml:space="preserve">T21-06</t>
  </si>
  <si>
    <t xml:space="preserve">Filter: Discrepancy.</t>
  </si>
  <si>
    <t xml:space="preserve">Only discrepancy.</t>
  </si>
  <si>
    <t xml:space="preserve">T21-07</t>
  </si>
  <si>
    <t xml:space="preserve">Filter: Closed.</t>
  </si>
  <si>
    <t xml:space="preserve">Only closed.</t>
  </si>
  <si>
    <t xml:space="preserve">T21-08</t>
  </si>
  <si>
    <t xml:space="preserve">Search by PO number, then supplier.</t>
  </si>
  <si>
    <t xml:space="preserve">T21-09</t>
  </si>
  <si>
    <t xml:space="preserve">Receive a PO with exactly the ordered quantities.</t>
  </si>
  <si>
    <t xml:space="preserve">Status Received; stock added.</t>
  </si>
  <si>
    <t xml:space="preserve">REQ054, REQ057</t>
  </si>
  <si>
    <t xml:space="preserve">T21-10</t>
  </si>
  <si>
    <t xml:space="preserve">Receive a PO with fewer/more units.</t>
  </si>
  <si>
    <t xml:space="preserve">Status Discrepancy; per-product variance shown.</t>
  </si>
  <si>
    <t xml:space="preserve">REQ055, REQ056</t>
  </si>
  <si>
    <t xml:space="preserve">T21-11</t>
  </si>
  <si>
    <t xml:space="preserve">Acknowledge a discrepancy.</t>
  </si>
  <si>
    <t xml:space="preserve">Status Closed.</t>
  </si>
  <si>
    <t xml:space="preserve">REQ057</t>
  </si>
  <si>
    <t xml:space="preserve">T21-12</t>
  </si>
  <si>
    <t xml:space="preserve">Discrepancy creates a staff notification.</t>
  </si>
  <si>
    <t xml:space="preserve">Shows in the bell.</t>
  </si>
  <si>
    <t xml:space="preserve">REQ048</t>
  </si>
  <si>
    <t xml:space="preserve">T22-01</t>
  </si>
  <si>
    <t xml:space="preserve">admin/inventory.html &gt; Stock Count</t>
  </si>
  <si>
    <t xml:space="preserve">Start Stock Count: pick a month &gt; Start Count.</t>
  </si>
  <si>
    <t xml:space="preserve">Count session opens for that month.</t>
  </si>
  <si>
    <t xml:space="preserve">REQ059</t>
  </si>
  <si>
    <t xml:space="preserve">T22-02</t>
  </si>
  <si>
    <t xml:space="preserve">Download Count Sheet.</t>
  </si>
  <si>
    <t xml:space="preserve">Excel with every batch.</t>
  </si>
  <si>
    <t xml:space="preserve">T22-03</t>
  </si>
  <si>
    <t xml:space="preserve">Enter physical counts.</t>
  </si>
  <si>
    <t xml:space="preserve">Variance calculated automatically.</t>
  </si>
  <si>
    <t xml:space="preserve">REQ060</t>
  </si>
  <si>
    <t xml:space="preserve">T22-04</t>
  </si>
  <si>
    <t xml:space="preserve">Submit Count as Technical Staff.</t>
  </si>
  <si>
    <t xml:space="preserve">Saved for the BM to finalize; stock not changed yet.</t>
  </si>
  <si>
    <t xml:space="preserve">REQ061</t>
  </si>
  <si>
    <t xml:space="preserve">T22-05</t>
  </si>
  <si>
    <t xml:space="preserve">Finalize as BM with a variance but no reason.</t>
  </si>
  <si>
    <t xml:space="preserve">Blocked: reason required.</t>
  </si>
  <si>
    <t xml:space="preserve">T22-06</t>
  </si>
  <si>
    <t xml:space="preserve">Finalize with reasons.</t>
  </si>
  <si>
    <t xml:space="preserve">Stock adjusted; each change in the audit log with reason.</t>
  </si>
  <si>
    <t xml:space="preserve">T22-07</t>
  </si>
  <si>
    <t xml:space="preserve">Count view: 'All batches' and 'Differences only' tabs; search product/batch; Export.</t>
  </si>
  <si>
    <t xml:space="preserve">Each works.</t>
  </si>
  <si>
    <t xml:space="preserve">T22-08</t>
  </si>
  <si>
    <t xml:space="preserve">Count view Cancel / Close.</t>
  </si>
  <si>
    <t xml:space="preserve">Closes without saving.</t>
  </si>
  <si>
    <t xml:space="preserve">T22-09</t>
  </si>
  <si>
    <t xml:space="preserve">admin/inventory.html &gt; Opening Stock</t>
  </si>
  <si>
    <t xml:space="preserve">Opening Stock: set date, download count sheet, fill, Choose File, Load Opening Stock.</t>
  </si>
  <si>
    <t xml:space="preserve">Stock loaded as counted stock (not a purchase).</t>
  </si>
  <si>
    <t xml:space="preserve">T22-10</t>
  </si>
  <si>
    <t xml:space="preserve">Run Opening Stock a second time.</t>
  </si>
  <si>
    <t xml:space="preserve">Prevented or warned (load once).</t>
  </si>
  <si>
    <t xml:space="preserve">T22-11</t>
  </si>
  <si>
    <t xml:space="preserve">Supplier Purchases report for that month.</t>
  </si>
  <si>
    <t xml:space="preserve">Opening stock not included.</t>
  </si>
  <si>
    <t xml:space="preserve">T23-01</t>
  </si>
  <si>
    <t xml:space="preserve">admin/suppliers.html</t>
  </si>
  <si>
    <t xml:space="preserve">Add Supplier with all fields.</t>
  </si>
  <si>
    <t xml:space="preserve">Saved and listed.</t>
  </si>
  <si>
    <t xml:space="preserve">REQ069</t>
  </si>
  <si>
    <t xml:space="preserve">T23-02</t>
  </si>
  <si>
    <t xml:space="preserve">Add with blank name / bad email / bad phone.</t>
  </si>
  <si>
    <t xml:space="preserve">T23-03</t>
  </si>
  <si>
    <t xml:space="preserve">Edit; set Inactive; set Active.</t>
  </si>
  <si>
    <t xml:space="preserve">Saved; inactive hidden from receiving/PO pickers.</t>
  </si>
  <si>
    <t xml:space="preserve">T23-04</t>
  </si>
  <si>
    <t xml:space="preserve">Delete a supplier.</t>
  </si>
  <si>
    <t xml:space="preserve">Confirm; removed (or blocked if linked, as designed).</t>
  </si>
  <si>
    <t xml:space="preserve">T23-05</t>
  </si>
  <si>
    <t xml:space="preserve">Search suppliers; pagination (6 per page).</t>
  </si>
  <si>
    <t xml:space="preserve">T23-06</t>
  </si>
  <si>
    <t xml:space="preserve">T24-01</t>
  </si>
  <si>
    <t xml:space="preserve">admin/wholesale-accounts.html</t>
  </si>
  <si>
    <t xml:space="preserve">Add Wholesale Account: name, contact, business type, phone, email, address, LTO file + expiry, permit file + expiry.</t>
  </si>
  <si>
    <t xml:space="preserve">Saved; documents viewable.</t>
  </si>
  <si>
    <t xml:space="preserve">REQ085, REQ086</t>
  </si>
  <si>
    <t xml:space="preserve">T24-02</t>
  </si>
  <si>
    <t xml:space="preserve">Business type: Retail Pharmacy, Clinic, Hospital, Distributor, Other (one account each).</t>
  </si>
  <si>
    <t xml:space="preserve">Each saved and shown correctly.</t>
  </si>
  <si>
    <t xml:space="preserve">REQ085</t>
  </si>
  <si>
    <t xml:space="preserve">T24-03</t>
  </si>
  <si>
    <t xml:space="preserve">Missing required fields / bad email.</t>
  </si>
  <si>
    <t xml:space="preserve">T24-04</t>
  </si>
  <si>
    <t xml:space="preserve">LTO or permit expiring soon / expired.</t>
  </si>
  <si>
    <t xml:space="preserve">Card flags it; staff notification.</t>
  </si>
  <si>
    <t xml:space="preserve">REQ086, REQ048</t>
  </si>
  <si>
    <t xml:space="preserve">T24-05</t>
  </si>
  <si>
    <t xml:space="preserve">Process Order for an account with an expired document.</t>
  </si>
  <si>
    <t xml:space="preserve">REQ086</t>
  </si>
  <si>
    <t xml:space="preserve">T24-06</t>
  </si>
  <si>
    <t xml:space="preserve">Search wholesale accounts; pagination (6 per page).</t>
  </si>
  <si>
    <t xml:space="preserve">T24-07</t>
  </si>
  <si>
    <t xml:space="preserve">Edit; Active/Inactive; Delete.</t>
  </si>
  <si>
    <t xml:space="preserve">T24-08</t>
  </si>
  <si>
    <t xml:space="preserve">admin/wholesale-accounts.html &gt; Process Order</t>
  </si>
  <si>
    <t xml:space="preserve">Process Order: PO ref, PO document, items (Add Item), payment Cash.</t>
  </si>
  <si>
    <t xml:space="preserve">Recorded; FEFO deduction; invoice available.</t>
  </si>
  <si>
    <t xml:space="preserve">REQ087, REQ092</t>
  </si>
  <si>
    <t xml:space="preserve">T24-09</t>
  </si>
  <si>
    <t xml:space="preserve">Payment: G-Cash / QR Ph, Bank Transfer, Terminal (Card), Credit (pay later).</t>
  </si>
  <si>
    <t xml:space="preserve">Each records correctly.</t>
  </si>
  <si>
    <t xml:space="preserve">T24-10</t>
  </si>
  <si>
    <t xml:space="preserve">Free of cost ticked without reason.</t>
  </si>
  <si>
    <t xml:space="preserve">REQ091</t>
  </si>
  <si>
    <t xml:space="preserve">T24-11</t>
  </si>
  <si>
    <t xml:space="preserve">Free of cost with reason (near-expiry donation).</t>
  </si>
  <si>
    <t xml:space="preserve">Prices 0; own audit entry; noted on invoice.</t>
  </si>
  <si>
    <t xml:space="preserve">T24-12</t>
  </si>
  <si>
    <t xml:space="preserve">Tick 'save prices' (agreed prices) then process another order.</t>
  </si>
  <si>
    <t xml:space="preserve">Agreed prices prefill next time; visible in Edit.</t>
  </si>
  <si>
    <t xml:space="preserve">T24-13</t>
  </si>
  <si>
    <t xml:space="preserve">Order more than stock.</t>
  </si>
  <si>
    <t xml:space="preserve">T24-14</t>
  </si>
  <si>
    <t xml:space="preserve">Cancel the Process Order modal.</t>
  </si>
  <si>
    <t xml:space="preserve">Nothing recorded.</t>
  </si>
  <si>
    <t xml:space="preserve">T24-15</t>
  </si>
  <si>
    <t xml:space="preserve">admin/wholesale-accounts.html &gt; Purchase History</t>
  </si>
  <si>
    <t xml:space="preserve">Open Purchase History; download an invoice.</t>
  </si>
  <si>
    <t xml:space="preserve">All orders listed; PDF invoice with buyer details, batch and expiry per line.</t>
  </si>
  <si>
    <t xml:space="preserve">REQ089, REQ092</t>
  </si>
  <si>
    <t xml:space="preserve">T24-16</t>
  </si>
  <si>
    <t xml:space="preserve">Exchange: return items, pick replacement of equal/higher value.</t>
  </si>
  <si>
    <t xml:space="preserve">Return goes to original batch; replacement FEFO; difference recorded; EX-##### document; audit entry.</t>
  </si>
  <si>
    <t xml:space="preserve">REQ090</t>
  </si>
  <si>
    <t xml:space="preserve">T24-17</t>
  </si>
  <si>
    <t xml:space="preserve">Exchange with lower-value replacement / no reason.</t>
  </si>
  <si>
    <t xml:space="preserve">T24-18</t>
  </si>
  <si>
    <t xml:space="preserve">Shop</t>
  </si>
  <si>
    <t xml:space="preserve">Look for wholesale/costing prices anywhere in the shop.</t>
  </si>
  <si>
    <t xml:space="preserve">Never shown.</t>
  </si>
  <si>
    <t xml:space="preserve">REQ088</t>
  </si>
  <si>
    <t xml:space="preserve">T25-01</t>
  </si>
  <si>
    <t xml:space="preserve">admin/customer-accounts.html</t>
  </si>
  <si>
    <t xml:space="preserve">Tab: All (count).</t>
  </si>
  <si>
    <t xml:space="preserve">Every customer.</t>
  </si>
  <si>
    <t xml:space="preserve">REQ116</t>
  </si>
  <si>
    <t xml:space="preserve">T25-02</t>
  </si>
  <si>
    <t xml:space="preserve">T25-03</t>
  </si>
  <si>
    <t xml:space="preserve">Tab: Deactivated.</t>
  </si>
  <si>
    <t xml:space="preserve">Deactivated only.</t>
  </si>
  <si>
    <t xml:space="preserve">T25-04</t>
  </si>
  <si>
    <t xml:space="preserve">Search customers by name/email; Sort button; pagination (8 per page).</t>
  </si>
  <si>
    <t xml:space="preserve">T25-05</t>
  </si>
  <si>
    <t xml:space="preserve">Open a customer.</t>
  </si>
  <si>
    <t xml:space="preserve">Status, registration date, order list with statuses, store credit.</t>
  </si>
  <si>
    <t xml:space="preserve">T25-06</t>
  </si>
  <si>
    <t xml:space="preserve">Deactivate Account, then reactivate.</t>
  </si>
  <si>
    <t xml:space="preserve">Customer can't log in while deactivated; data kept.</t>
  </si>
  <si>
    <t xml:space="preserve">T26-01</t>
  </si>
  <si>
    <t xml:space="preserve">admin/staff-management.html</t>
  </si>
  <si>
    <t xml:space="preserve">Add Staff Account with role Branch Manager.</t>
  </si>
  <si>
    <t xml:space="preserve">Created; can log in with full access.</t>
  </si>
  <si>
    <t xml:space="preserve">REQ118, REQ119</t>
  </si>
  <si>
    <t xml:space="preserve">T26-02</t>
  </si>
  <si>
    <t xml:space="preserve">Add Staff Account with role Technical Staff.</t>
  </si>
  <si>
    <t xml:space="preserve">Created; Technical access.</t>
  </si>
  <si>
    <t xml:space="preserve">REQ119</t>
  </si>
  <si>
    <t xml:space="preserve">T26-03</t>
  </si>
  <si>
    <t xml:space="preserve">Add Staff Account with role Sales Staff.</t>
  </si>
  <si>
    <t xml:space="preserve">Created; POS + catalog only.</t>
  </si>
  <si>
    <t xml:space="preserve">T26-04</t>
  </si>
  <si>
    <t xml:space="preserve">Weak password / bad email / existing email / bad name.</t>
  </si>
  <si>
    <t xml:space="preserve">Blocked with the shared rules.</t>
  </si>
  <si>
    <t xml:space="preserve">T26-05</t>
  </si>
  <si>
    <t xml:space="preserve">Edit a staff member's role.</t>
  </si>
  <si>
    <t xml:space="preserve">New access on next page load.</t>
  </si>
  <si>
    <t xml:space="preserve">T26-06</t>
  </si>
  <si>
    <t xml:space="preserve">Deactivate a staff member.</t>
  </si>
  <si>
    <t xml:space="preserve">Loses access immediately.</t>
  </si>
  <si>
    <t xml:space="preserve">T26-07</t>
  </si>
  <si>
    <t xml:space="preserve">Tabs All / Active / Deactivated; search staff; pagination.</t>
  </si>
  <si>
    <t xml:space="preserve">Work.</t>
  </si>
  <si>
    <t xml:space="preserve">T26-08</t>
  </si>
  <si>
    <t xml:space="preserve">Edit the Administrator account.</t>
  </si>
  <si>
    <t xml:space="preserve">Not demoted.</t>
  </si>
  <si>
    <t xml:space="preserve">T26-09</t>
  </si>
  <si>
    <t xml:space="preserve">Try to change your own role/deactivate yourself.</t>
  </si>
  <si>
    <t xml:space="preserve">Prevented.</t>
  </si>
  <si>
    <t xml:space="preserve">T27-01</t>
  </si>
  <si>
    <t xml:space="preserve">admin/audit-log.html</t>
  </si>
  <si>
    <t xml:space="preserve">Do one of each: price change, void, write-off, wholesale exchange, free-of-cost, stock receiving, RX approve/reject, count finalize, account change, report generated.</t>
  </si>
  <si>
    <t xml:space="preserve">Each has an entry with user, time, record, before/after, reason.</t>
  </si>
  <si>
    <t xml:space="preserve">REQ122</t>
  </si>
  <si>
    <t xml:space="preserve">T27-02</t>
  </si>
  <si>
    <t xml:space="preserve">Search by user, action, details.</t>
  </si>
  <si>
    <t xml:space="preserve">T27-03</t>
  </si>
  <si>
    <t xml:space="preserve">Date From only; Date To only; From + To; From after To.</t>
  </si>
  <si>
    <t xml:space="preserve">Correct ranges; From after To handled.</t>
  </si>
  <si>
    <t xml:space="preserve">T27-04</t>
  </si>
  <si>
    <t xml:space="preserve">Search + dates together; Clear.</t>
  </si>
  <si>
    <t xml:space="preserve">Combined; Clear resets all.</t>
  </si>
  <si>
    <t xml:space="preserve">T27-05</t>
  </si>
  <si>
    <t xml:space="preserve">Pagination (10 per page).</t>
  </si>
  <si>
    <t xml:space="preserve">T27-06</t>
  </si>
  <si>
    <t xml:space="preserve">Downloads the filtered list.</t>
  </si>
  <si>
    <t xml:space="preserve">T27-07</t>
  </si>
  <si>
    <t xml:space="preserve">Open the audit log.</t>
  </si>
  <si>
    <t xml:space="preserve">Accessible.</t>
  </si>
  <si>
    <t xml:space="preserve">REQ123</t>
  </si>
  <si>
    <t xml:space="preserve">T27-08</t>
  </si>
  <si>
    <t xml:space="preserve">Look for edit/delete on any entry.</t>
  </si>
  <si>
    <t xml:space="preserve">None.</t>
  </si>
  <si>
    <t xml:space="preserve">REQ124</t>
  </si>
  <si>
    <t xml:space="preserve">T28-01</t>
  </si>
  <si>
    <t xml:space="preserve">admin/notifications.html + bell</t>
  </si>
  <si>
    <t xml:space="preserve">Trigger: new online order, payment resubmitted, low stock, near-expiry, Bad Order, PO discrepancy, wholesale document expiry, waiting chat.</t>
  </si>
  <si>
    <t xml:space="preserve">Each appears in the bell and on the page.</t>
  </si>
  <si>
    <t xml:space="preserve">T28-02</t>
  </si>
  <si>
    <t xml:space="preserve">Everything.</t>
  </si>
  <si>
    <t xml:space="preserve">T28-03</t>
  </si>
  <si>
    <t xml:space="preserve">Tab: Orders.</t>
  </si>
  <si>
    <t xml:space="preserve">Order/payment items only.</t>
  </si>
  <si>
    <t xml:space="preserve">T28-04</t>
  </si>
  <si>
    <t xml:space="preserve">Tab: Stock.</t>
  </si>
  <si>
    <t xml:space="preserve">Stock/expiry items only.</t>
  </si>
  <si>
    <t xml:space="preserve">T28-05</t>
  </si>
  <si>
    <t xml:space="preserve">Tab: Live Chat.</t>
  </si>
  <si>
    <t xml:space="preserve">Chat items only.</t>
  </si>
  <si>
    <t xml:space="preserve">T28-06</t>
  </si>
  <si>
    <t xml:space="preserve">Click a notification.</t>
  </si>
  <si>
    <t xml:space="preserve">Opens the related page; marked read.</t>
  </si>
  <si>
    <t xml:space="preserve">T28-07</t>
  </si>
  <si>
    <t xml:space="preserve">Mark all as read.</t>
  </si>
  <si>
    <t xml:space="preserve">Unread count 0.</t>
  </si>
  <si>
    <t xml:space="preserve">T28-08</t>
  </si>
  <si>
    <t xml:space="preserve">Turn on desktop alerts; trigger a new order with the tab in the background.</t>
  </si>
  <si>
    <t xml:space="preserve">Browser notification shows once.</t>
  </si>
  <si>
    <t xml:space="preserve">T28-09</t>
  </si>
  <si>
    <t xml:space="preserve">Bell as Sales Staff.</t>
  </si>
  <si>
    <t xml:space="preserve">Not shown / no staff alerts.</t>
  </si>
  <si>
    <t xml:space="preserve">T29-01</t>
  </si>
  <si>
    <t xml:space="preserve">admin/live-chat.html</t>
  </si>
  <si>
    <t xml:space="preserve">Tab: Open.</t>
  </si>
  <si>
    <t xml:space="preserve">Active conversations.</t>
  </si>
  <si>
    <t xml:space="preserve">REQ108</t>
  </si>
  <si>
    <t xml:space="preserve">T29-02</t>
  </si>
  <si>
    <t xml:space="preserve">Tab: Needs staff (count).</t>
  </si>
  <si>
    <t xml:space="preserve">Only handed-off chats.</t>
  </si>
  <si>
    <t xml:space="preserve">T29-03</t>
  </si>
  <si>
    <t xml:space="preserve">Tab: Resolved.</t>
  </si>
  <si>
    <t xml:space="preserve">Resolved only.</t>
  </si>
  <si>
    <t xml:space="preserve">REQ110</t>
  </si>
  <si>
    <t xml:space="preserve">T29-04</t>
  </si>
  <si>
    <t xml:space="preserve">T29-05</t>
  </si>
  <si>
    <t xml:space="preserve">Open a chat and Send a reply.</t>
  </si>
  <si>
    <t xml:space="preserve">Takes over from the assistant; customer sees it live.</t>
  </si>
  <si>
    <t xml:space="preserve">T29-06</t>
  </si>
  <si>
    <t xml:space="preserve">Hand back to assistant.</t>
  </si>
  <si>
    <t xml:space="preserve">Assistant answers again.</t>
  </si>
  <si>
    <t xml:space="preserve">T29-07</t>
  </si>
  <si>
    <t xml:space="preserve">Mark resolved; then customer sends a new message.</t>
  </si>
  <si>
    <t xml:space="preserve">Moves to Resolved; new message reopens it.</t>
  </si>
  <si>
    <t xml:space="preserve">T29-08</t>
  </si>
  <si>
    <t xml:space="preserve">Usage counter + refresh button.</t>
  </si>
  <si>
    <t xml:space="preserve">Today's AI reply count vs daily limit.</t>
  </si>
  <si>
    <t xml:space="preserve">T29-09</t>
  </si>
  <si>
    <t xml:space="preserve">Test AI.</t>
  </si>
  <si>
    <t xml:space="preserve">Shows whether the Gemini connection works.</t>
  </si>
  <si>
    <t xml:space="preserve">T30-01</t>
  </si>
  <si>
    <t xml:space="preserve">admin/reports.html</t>
  </si>
  <si>
    <t xml:space="preserve">Daily Sales Report: From + To dates &gt; Generate.</t>
  </si>
  <si>
    <t xml:space="preserve">Preview on screen; figures match the records in that range.</t>
  </si>
  <si>
    <t xml:space="preserve">REQ111-115</t>
  </si>
  <si>
    <t xml:space="preserve">T30-02</t>
  </si>
  <si>
    <t xml:space="preserve">Daily Sales Report: one day only (From = To); empty range; From after To.</t>
  </si>
  <si>
    <t xml:space="preserve">One day works; empty shows 'no data'; From after To refused.</t>
  </si>
  <si>
    <t xml:space="preserve">REQ115</t>
  </si>
  <si>
    <t xml:space="preserve">T30-03</t>
  </si>
  <si>
    <t xml:space="preserve">Daily Sales Report: PDF and Excel.</t>
  </si>
  <si>
    <t xml:space="preserve">Both download and match the preview.</t>
  </si>
  <si>
    <t xml:space="preserve">T30-04</t>
  </si>
  <si>
    <t xml:space="preserve">Customer File (sales per customer): From + To dates &gt; Generate.</t>
  </si>
  <si>
    <t xml:space="preserve">T30-05</t>
  </si>
  <si>
    <t xml:space="preserve">Customer File (sales per customer): one day only (From = To); empty range; From after To.</t>
  </si>
  <si>
    <t xml:space="preserve">T30-06</t>
  </si>
  <si>
    <t xml:space="preserve">Customer File (sales per customer): PDF and Excel.</t>
  </si>
  <si>
    <t xml:space="preserve">T30-07</t>
  </si>
  <si>
    <t xml:space="preserve">Monthly Inventory (per category): Month + Year &gt; Generate.</t>
  </si>
  <si>
    <t xml:space="preserve">Preview; figures match that month.</t>
  </si>
  <si>
    <t xml:space="preserve">T30-08</t>
  </si>
  <si>
    <t xml:space="preserve">Monthly Inventory (per category): a month with no data; change only the Year.</t>
  </si>
  <si>
    <t xml:space="preserve">'No data' message; year change applies.</t>
  </si>
  <si>
    <t xml:space="preserve">T30-09</t>
  </si>
  <si>
    <t xml:space="preserve">Monthly Inventory (per category): PDF and Excel.</t>
  </si>
  <si>
    <t xml:space="preserve">T30-10</t>
  </si>
  <si>
    <t xml:space="preserve">Supplier Purchases: Month + Year &gt; Generate.</t>
  </si>
  <si>
    <t xml:space="preserve">T30-11</t>
  </si>
  <si>
    <t xml:space="preserve">Supplier Purchases: a month with no data; change only the Year.</t>
  </si>
  <si>
    <t xml:space="preserve">T30-12</t>
  </si>
  <si>
    <t xml:space="preserve">Supplier Purchases: PDF and Excel.</t>
  </si>
  <si>
    <t xml:space="preserve">T30-13</t>
  </si>
  <si>
    <t xml:space="preserve">Pull-Out Report (write-offs): From + To dates &gt; Generate.</t>
  </si>
  <si>
    <t xml:space="preserve">T30-14</t>
  </si>
  <si>
    <t xml:space="preserve">Pull-Out Report (write-offs): one day only (From = To); empty range; From after To.</t>
  </si>
  <si>
    <t xml:space="preserve">T30-15</t>
  </si>
  <si>
    <t xml:space="preserve">Pull-Out Report (write-offs): PDF and Excel.</t>
  </si>
  <si>
    <t xml:space="preserve">T30-16</t>
  </si>
  <si>
    <t xml:space="preserve">Return / Exchange Report (wholesale): From + To dates &gt; Generate.</t>
  </si>
  <si>
    <t xml:space="preserve">T30-17</t>
  </si>
  <si>
    <t xml:space="preserve">Return / Exchange Report (wholesale): one day only (From = To); empty range; From after To.</t>
  </si>
  <si>
    <t xml:space="preserve">T30-18</t>
  </si>
  <si>
    <t xml:space="preserve">Return / Exchange Report (wholesale): PDF and Excel.</t>
  </si>
  <si>
    <t xml:space="preserve">T30-19</t>
  </si>
  <si>
    <t xml:space="preserve">Purchase Order Discrepancy Report: From + To dates &gt; Generate.</t>
  </si>
  <si>
    <t xml:space="preserve">T30-20</t>
  </si>
  <si>
    <t xml:space="preserve">Purchase Order Discrepancy Report: one day only (From = To); empty range; From after To.</t>
  </si>
  <si>
    <t xml:space="preserve">T30-21</t>
  </si>
  <si>
    <t xml:space="preserve">Purchase Order Discrepancy Report: PDF and Excel.</t>
  </si>
  <si>
    <t xml:space="preserve">T30-22</t>
  </si>
  <si>
    <t xml:space="preserve">Daily Sales: check VATable, VAT 12%, VAT-exempt, discounts, payment-method breakdown, items sold.</t>
  </si>
  <si>
    <t xml:space="preserve">Totals add up; matches the branch's format.</t>
  </si>
  <si>
    <t xml:space="preserve">T30-23</t>
  </si>
  <si>
    <t xml:space="preserve">Monthly Inventory: one sheet per category; POS vs physical; costing/retail/wholesale; batch; expiry; supplier.</t>
  </si>
  <si>
    <t xml:space="preserve">As listed.</t>
  </si>
  <si>
    <t xml:space="preserve">T30-24</t>
  </si>
  <si>
    <t xml:space="preserve">Daily Sales includes voided sales?</t>
  </si>
  <si>
    <t xml:space="preserve">Voided sales excluded or marked.</t>
  </si>
  <si>
    <t xml:space="preserve">T30-25</t>
  </si>
  <si>
    <t xml:space="preserve">Report generated.</t>
  </si>
  <si>
    <t xml:space="preserve">Audit entry 'Report Generated'.</t>
  </si>
  <si>
    <t xml:space="preserve">T31-01</t>
  </si>
  <si>
    <t xml:space="preserve">admin/settings.html</t>
  </si>
  <si>
    <t xml:space="preserve">Edit own name/contact &gt; Save Changes.</t>
  </si>
  <si>
    <t xml:space="preserve">Saved; bad formats refused.</t>
  </si>
  <si>
    <t xml:space="preserve">T31-02</t>
  </si>
  <si>
    <t xml:space="preserve">Update Password: wrong current / weak new / mismatch / correct.</t>
  </si>
  <si>
    <t xml:space="preserve">Refused x3; correct works.</t>
  </si>
  <si>
    <t xml:space="preserve">T31-03</t>
  </si>
  <si>
    <t xml:space="preserve">Announcement: active on, type Announcement, message &gt; Save.</t>
  </si>
  <si>
    <t xml:space="preserve">Shows on the shop.</t>
  </si>
  <si>
    <t xml:space="preserve">T31-04</t>
  </si>
  <si>
    <t xml:space="preserve">Edit the announcement as Technical Staff.</t>
  </si>
  <si>
    <t xml:space="preserve">Allowed.</t>
  </si>
  <si>
    <t xml:space="preserve">T31-05</t>
  </si>
  <si>
    <t xml:space="preserve">Announcement controls as Sales Staff.</t>
  </si>
  <si>
    <t xml:space="preserve">Not available.</t>
  </si>
  <si>
    <t xml:space="preserve">T31-06</t>
  </si>
  <si>
    <t xml:space="preserve">Send Test Email to a real inbox.</t>
  </si>
  <si>
    <t xml:space="preserve">Arrives (EmailJS works).</t>
  </si>
  <si>
    <t xml:space="preserve">REQ039</t>
  </si>
  <si>
    <t xml:space="preserve">T31-07</t>
  </si>
  <si>
    <t xml:space="preserve">Clear Test Data card (before 2026-11-15).</t>
  </si>
  <si>
    <t xml:space="preserve">Shown to BM/Admin only.</t>
  </si>
  <si>
    <t xml:space="preserve">T31-08</t>
  </si>
  <si>
    <t xml:space="preserve">admin/clear-test-data.html</t>
  </si>
  <si>
    <t xml:space="preserve">Select groups + 'Select all customers'; wrong confirm text.</t>
  </si>
  <si>
    <t xml:space="preserve">Delete button stays disabled / refused.</t>
  </si>
  <si>
    <t xml:space="preserve">T31-09</t>
  </si>
  <si>
    <t xml:space="preserve">Reset numbering + last SI number (e.g. 4520) + correct confirm &gt; Delete Selected Data.</t>
  </si>
  <si>
    <t xml:space="preserve">Selected data deleted; next SI = 4521; BM accounts, store settings, chat usage kept.</t>
  </si>
  <si>
    <t xml:space="preserve">T31-10</t>
  </si>
  <si>
    <t xml:space="preserve">After deleting customers.</t>
  </si>
  <si>
    <t xml:space="preserve">Remove their logins in Firebase console &gt; Authentication &gt; Users.</t>
  </si>
  <si>
    <t xml:space="preserve">T31-11</t>
  </si>
  <si>
    <t xml:space="preserve">Open the page as Technical Staff.</t>
  </si>
  <si>
    <t xml:space="preserve">T32-01</t>
  </si>
  <si>
    <t xml:space="preserve">Customer inbox</t>
  </si>
  <si>
    <t xml:space="preserve">Trigger: Order placed.</t>
  </si>
  <si>
    <t xml:space="preserve">Email arrives with the right subject, message and link.</t>
  </si>
  <si>
    <t xml:space="preserve">T32-02</t>
  </si>
  <si>
    <t xml:space="preserve">Trigger: Payment confirmed.</t>
  </si>
  <si>
    <t xml:space="preserve">T32-03</t>
  </si>
  <si>
    <t xml:space="preserve">Trigger: On hold (each type).</t>
  </si>
  <si>
    <t xml:space="preserve">T32-04</t>
  </si>
  <si>
    <t xml:space="preserve">Trigger: Prescription approved / rejected.</t>
  </si>
  <si>
    <t xml:space="preserve">T32-05</t>
  </si>
  <si>
    <t xml:space="preserve">Trigger: Dispatched (with tracking link).</t>
  </si>
  <si>
    <t xml:space="preserve">T32-06</t>
  </si>
  <si>
    <t xml:space="preserve">Trigger: Ready for pick-up.</t>
  </si>
  <si>
    <t xml:space="preserve">T32-07</t>
  </si>
  <si>
    <t xml:space="preserve">Trigger: Store credit added.</t>
  </si>
  <si>
    <t xml:space="preserve">T32-08</t>
  </si>
  <si>
    <t xml:space="preserve">EmailJS dashboard</t>
  </si>
  <si>
    <t xml:space="preserve">Check monthly usage.</t>
  </si>
  <si>
    <t xml:space="preserve">Under the 200/month free limit; plan for real volume.</t>
  </si>
  <si>
    <t xml:space="preserve">T33-01</t>
  </si>
  <si>
    <t xml:space="preserve">All pages</t>
  </si>
  <si>
    <t xml:space="preserve">Open every page on a phone (Chrome Android / Safari iOS) and a tablet.</t>
  </si>
  <si>
    <t xml:space="preserve">No horizontal scroll; menus, tables, modals usable.</t>
  </si>
  <si>
    <t xml:space="preserve">REQNF003</t>
  </si>
  <si>
    <t xml:space="preserve">T33-02</t>
  </si>
  <si>
    <t xml:space="preserve">Open key flows in Chrome, Edge, Firefox, Safari.</t>
  </si>
  <si>
    <t xml:space="preserve">Same behavior.</t>
  </si>
  <si>
    <t xml:space="preserve">REQNF007</t>
  </si>
  <si>
    <t xml:space="preserve">T33-03</t>
  </si>
  <si>
    <t xml:space="preserve">Check every date and time shown, receipts and exports.</t>
  </si>
  <si>
    <t xml:space="preserve">MM/DD/YYYY and 12-hour AM/PM everywhere.</t>
  </si>
  <si>
    <t xml:space="preserve">REQNF028</t>
  </si>
  <si>
    <t xml:space="preserve">T33-04</t>
  </si>
  <si>
    <t xml:space="preserve">Check every amount.</t>
  </si>
  <si>
    <t xml:space="preserve">₱ with commas and 2 decimals.</t>
  </si>
  <si>
    <t xml:space="preserve">REQNF027</t>
  </si>
  <si>
    <t xml:space="preserve">T33-05</t>
  </si>
  <si>
    <t xml:space="preserve">Turn off the network mid-action (save, sale, upload).</t>
  </si>
  <si>
    <t xml:space="preserve">Clear error message; no half-saved data.</t>
  </si>
  <si>
    <t xml:space="preserve">T33-06</t>
  </si>
  <si>
    <t xml:space="preserve">Measure load time of Dashboard, Inventory, Online Orders, Products with the full 1,130-product catalog.</t>
  </si>
  <si>
    <t xml:space="preserve">Acceptable (note seconds).</t>
  </si>
  <si>
    <t xml:space="preserve">REQNF004</t>
  </si>
  <si>
    <t xml:space="preserve">T33-07</t>
  </si>
  <si>
    <t xml:space="preserve">legal.html + footer</t>
  </si>
  <si>
    <t xml:space="preserve">Open Terms and Privacy Policy links in the footer.</t>
  </si>
  <si>
    <t xml:space="preserve">Pages show; privacy text matches the Data Privacy Act.</t>
  </si>
  <si>
    <t xml:space="preserve">REQNF025</t>
  </si>
  <si>
    <t xml:space="preserve">T33-08</t>
  </si>
  <si>
    <t xml:space="preserve">Admin header</t>
  </si>
  <si>
    <t xml:space="preserve">Logout button on every admin page; sidebar toggle on mobile.</t>
  </si>
  <si>
    <t xml:space="preserve">Logs out; sidebar opens/closes.</t>
  </si>
  <si>
    <t xml:space="preserve">T33-09</t>
  </si>
  <si>
    <t xml:space="preserve">Shop header</t>
  </si>
  <si>
    <t xml:space="preserve">Account menu: My Orders, Account Settings, Logout.</t>
  </si>
  <si>
    <t xml:space="preserve">T34-01</t>
  </si>
  <si>
    <t xml:space="preserve">Full flow</t>
  </si>
  <si>
    <t xml:space="preserve">Register &gt; verify &gt; browse with filters &gt; cart &gt; checkout (delivery) &gt; pay &gt; staff approve &gt; dispatch &gt; customer receives &gt; download receipt.</t>
  </si>
  <si>
    <t xml:space="preserve">Every step works; stock, SI, notifications, emails, audit log and Daily Sales report all agree.</t>
  </si>
  <si>
    <t xml:space="preserve">T34-02</t>
  </si>
  <si>
    <t xml:space="preserve">Rx pre-order &gt; staff rejects prescription &gt; customer re-uploads &gt; staff approves &gt; ready for pick-up &gt; picked up.</t>
  </si>
  <si>
    <t xml:space="preserve">Works end to end.</t>
  </si>
  <si>
    <t xml:space="preserve">T34-03</t>
  </si>
  <si>
    <t xml:space="preserve">Underpayment hold &gt; customer pays balance &gt; staff approves.</t>
  </si>
  <si>
    <t xml:space="preserve">Order proceeds; hold cleared.</t>
  </si>
  <si>
    <t xml:space="preserve">T34-04</t>
  </si>
  <si>
    <t xml:space="preserve">Overpayment &gt; store credit &gt; next order uses the credit.</t>
  </si>
  <si>
    <t xml:space="preserve">Credit applied once, correct balance after.</t>
  </si>
  <si>
    <t xml:space="preserve">T34-05</t>
  </si>
  <si>
    <t xml:space="preserve">Hold never resolved for 7 days.</t>
  </si>
  <si>
    <t xml:space="preserve">Closed unresolved; payment kept as credit.</t>
  </si>
  <si>
    <t xml:space="preserve">T34-06</t>
  </si>
  <si>
    <t xml:space="preserve">Create PO &gt; receive with shortage &gt; acknowledge &gt; sell at POS &gt; month-end count &gt; reports.</t>
  </si>
  <si>
    <t xml:space="preserve">Numbers match across Inventory and every report.</t>
  </si>
  <si>
    <t xml:space="preserve">T34-07</t>
  </si>
  <si>
    <t xml:space="preserve">Wholesale: new buyer &gt; documents &gt; order &gt; invoice &gt; exchange &gt; Return/Exchange report.</t>
  </si>
  <si>
    <t xml:space="preserve">T34-08</t>
  </si>
  <si>
    <t xml:space="preserve">Full POS shift: sales in every payment method, an Rx sale, one voided by Technical Staff with BM approval.</t>
  </si>
  <si>
    <t xml:space="preserve">Today's Sales, Walk-in tab, Daily Sales report and audit log agree.</t>
  </si>
  <si>
    <t xml:space="preserve">Page</t>
  </si>
  <si>
    <t xml:space="preserve">Expected: Guest</t>
  </si>
  <si>
    <t xml:space="preserve">Expected: Customer</t>
  </si>
  <si>
    <t xml:space="preserve">Expected: Sales Staff</t>
  </si>
  <si>
    <t xml:space="preserve">Expected: Technical Staff</t>
  </si>
  <si>
    <t xml:space="preserve">Expected: Branch Manager</t>
  </si>
  <si>
    <t xml:space="preserve">Result: Guest</t>
  </si>
  <si>
    <t xml:space="preserve">Result: Customer</t>
  </si>
  <si>
    <t xml:space="preserve">Result: Sales Staff</t>
  </si>
  <si>
    <t xml:space="preserve">Result: Technical Staff</t>
  </si>
  <si>
    <t xml:space="preserve">Result: Branch Manager</t>
  </si>
  <si>
    <t xml:space="preserve">Notes</t>
  </si>
  <si>
    <t xml:space="preserve">Sent to login</t>
  </si>
  <si>
    <t xml:space="preserve">Sent to shop home</t>
  </si>
  <si>
    <t xml:space="preserve">"No access" alert, then POS</t>
  </si>
  <si>
    <t xml:space="preserve">Opens</t>
  </si>
  <si>
    <t xml:space="preserve">Opens (view-only)</t>
  </si>
  <si>
    <t xml:space="preserve">admin/online-orders.html</t>
  </si>
  <si>
    <t xml:space="preserve">admin/inventory.html</t>
  </si>
  <si>
    <t xml:space="preserve">admin/notifications.html</t>
  </si>
  <si>
    <t xml:space="preserve">"No access" alert, then Dashboard</t>
  </si>
  <si>
    <t xml:space="preserve">legal.html</t>
  </si>
  <si>
    <t xml:space="preserve">Asks to log in</t>
  </si>
  <si>
    <t xml:space="preserve">As designed (staff are not customers)</t>
  </si>
  <si>
    <t xml:space="preserve">As designed</t>
  </si>
  <si>
    <t xml:space="preserve">Clear Test Data also switches itself off on 2026-11-15 (page refused for everyone after that).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</si>
</sst>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mm/d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f aca="false">COUNTIF(Tests!$B:$B,$A2)</f>
        <v>9</v>
      </c>
      <c r="C2" s="2" t="n">
        <f aca="false">COUNTIFS(Tests!$B:$B,$A2,Tests!$H:$H,"Pass")</f>
        <v>0</v>
      </c>
      <c r="D2" s="2" t="n">
        <f aca="false">COUNTIFS(Tests!$B:$B,$A2,Tests!$H:$H,"Fail")</f>
        <v>0</v>
      </c>
      <c r="E2" s="2" t="n">
        <f aca="false">COUNTIFS(Tests!$B:$B,$A2,Tests!$H:$H,"Blocked")</f>
        <v>0</v>
      </c>
      <c r="F2" s="2" t="n">
        <f aca="false">COUNTIFS(Tests!$B:$B,$A2,Tests!$H:$H,"N/A")</f>
        <v>0</v>
      </c>
      <c r="G2" s="2" t="n">
        <f aca="false">COUNTIFS(Tests!$B:$B,$A2,Tests!$H:$H,"Not run")</f>
        <v>9</v>
      </c>
      <c r="H2" s="3" t="n">
        <f aca="false">IF(B2=0,0,(B2-G2)/B2)</f>
        <v>0</v>
      </c>
    </row>
    <row r="3" customFormat="false" ht="15" hidden="false" customHeight="false" outlineLevel="0" collapsed="false">
      <c r="A3" s="2" t="s">
        <v>9</v>
      </c>
      <c r="B3" s="2" t="n">
        <f aca="false">COUNTIF(Tests!$B:$B,$A3)</f>
        <v>20</v>
      </c>
      <c r="C3" s="2" t="n">
        <f aca="false">COUNTIFS(Tests!$B:$B,$A3,Tests!$H:$H,"Pass")</f>
        <v>0</v>
      </c>
      <c r="D3" s="2" t="n">
        <f aca="false">COUNTIFS(Tests!$B:$B,$A3,Tests!$H:$H,"Fail")</f>
        <v>0</v>
      </c>
      <c r="E3" s="2" t="n">
        <f aca="false">COUNTIFS(Tests!$B:$B,$A3,Tests!$H:$H,"Blocked")</f>
        <v>0</v>
      </c>
      <c r="F3" s="2" t="n">
        <f aca="false">COUNTIFS(Tests!$B:$B,$A3,Tests!$H:$H,"N/A")</f>
        <v>0</v>
      </c>
      <c r="G3" s="2" t="n">
        <f aca="false">COUNTIFS(Tests!$B:$B,$A3,Tests!$H:$H,"Not run")</f>
        <v>20</v>
      </c>
      <c r="H3" s="3" t="n">
        <f aca="false">IF(B3=0,0,(B3-G3)/B3)</f>
        <v>0</v>
      </c>
    </row>
    <row r="4" customFormat="false" ht="15" hidden="false" customHeight="false" outlineLevel="0" collapsed="false">
      <c r="A4" s="2" t="s">
        <v>10</v>
      </c>
      <c r="B4" s="2" t="n">
        <f aca="false">COUNTIF(Tests!$B:$B,$A4)</f>
        <v>24</v>
      </c>
      <c r="C4" s="2" t="n">
        <f aca="false">COUNTIFS(Tests!$B:$B,$A4,Tests!$H:$H,"Pass")</f>
        <v>0</v>
      </c>
      <c r="D4" s="2" t="n">
        <f aca="false">COUNTIFS(Tests!$B:$B,$A4,Tests!$H:$H,"Fail")</f>
        <v>0</v>
      </c>
      <c r="E4" s="2" t="n">
        <f aca="false">COUNTIFS(Tests!$B:$B,$A4,Tests!$H:$H,"Blocked")</f>
        <v>0</v>
      </c>
      <c r="F4" s="2" t="n">
        <f aca="false">COUNTIFS(Tests!$B:$B,$A4,Tests!$H:$H,"N/A")</f>
        <v>0</v>
      </c>
      <c r="G4" s="2" t="n">
        <f aca="false">COUNTIFS(Tests!$B:$B,$A4,Tests!$H:$H,"Not run")</f>
        <v>24</v>
      </c>
      <c r="H4" s="3" t="n">
        <f aca="false">IF(B4=0,0,(B4-G4)/B4)</f>
        <v>0</v>
      </c>
    </row>
    <row r="5" customFormat="false" ht="15" hidden="false" customHeight="false" outlineLevel="0" collapsed="false">
      <c r="A5" s="2" t="s">
        <v>11</v>
      </c>
      <c r="B5" s="2" t="n">
        <f aca="false">COUNTIF(Tests!$B:$B,$A5)</f>
        <v>38</v>
      </c>
      <c r="C5" s="2" t="n">
        <f aca="false">COUNTIFS(Tests!$B:$B,$A5,Tests!$H:$H,"Pass")</f>
        <v>0</v>
      </c>
      <c r="D5" s="2" t="n">
        <f aca="false">COUNTIFS(Tests!$B:$B,$A5,Tests!$H:$H,"Fail")</f>
        <v>0</v>
      </c>
      <c r="E5" s="2" t="n">
        <f aca="false">COUNTIFS(Tests!$B:$B,$A5,Tests!$H:$H,"Blocked")</f>
        <v>0</v>
      </c>
      <c r="F5" s="2" t="n">
        <f aca="false">COUNTIFS(Tests!$B:$B,$A5,Tests!$H:$H,"N/A")</f>
        <v>0</v>
      </c>
      <c r="G5" s="2" t="n">
        <f aca="false">COUNTIFS(Tests!$B:$B,$A5,Tests!$H:$H,"Not run")</f>
        <v>38</v>
      </c>
      <c r="H5" s="3" t="n">
        <f aca="false">IF(B5=0,0,(B5-G5)/B5)</f>
        <v>0</v>
      </c>
    </row>
    <row r="6" customFormat="false" ht="15" hidden="false" customHeight="false" outlineLevel="0" collapsed="false">
      <c r="A6" s="2" t="s">
        <v>12</v>
      </c>
      <c r="B6" s="2" t="n">
        <f aca="false">COUNTIF(Tests!$B:$B,$A6)</f>
        <v>10</v>
      </c>
      <c r="C6" s="2" t="n">
        <f aca="false">COUNTIFS(Tests!$B:$B,$A6,Tests!$H:$H,"Pass")</f>
        <v>0</v>
      </c>
      <c r="D6" s="2" t="n">
        <f aca="false">COUNTIFS(Tests!$B:$B,$A6,Tests!$H:$H,"Fail")</f>
        <v>0</v>
      </c>
      <c r="E6" s="2" t="n">
        <f aca="false">COUNTIFS(Tests!$B:$B,$A6,Tests!$H:$H,"Blocked")</f>
        <v>0</v>
      </c>
      <c r="F6" s="2" t="n">
        <f aca="false">COUNTIFS(Tests!$B:$B,$A6,Tests!$H:$H,"N/A")</f>
        <v>0</v>
      </c>
      <c r="G6" s="2" t="n">
        <f aca="false">COUNTIFS(Tests!$B:$B,$A6,Tests!$H:$H,"Not run")</f>
        <v>10</v>
      </c>
      <c r="H6" s="3" t="n">
        <f aca="false">IF(B6=0,0,(B6-G6)/B6)</f>
        <v>0</v>
      </c>
    </row>
    <row r="7" customFormat="false" ht="15" hidden="false" customHeight="false" outlineLevel="0" collapsed="false">
      <c r="A7" s="2" t="s">
        <v>13</v>
      </c>
      <c r="B7" s="2" t="n">
        <f aca="false">COUNTIF(Tests!$B:$B,$A7)</f>
        <v>13</v>
      </c>
      <c r="C7" s="2" t="n">
        <f aca="false">COUNTIFS(Tests!$B:$B,$A7,Tests!$H:$H,"Pass")</f>
        <v>0</v>
      </c>
      <c r="D7" s="2" t="n">
        <f aca="false">COUNTIFS(Tests!$B:$B,$A7,Tests!$H:$H,"Fail")</f>
        <v>0</v>
      </c>
      <c r="E7" s="2" t="n">
        <f aca="false">COUNTIFS(Tests!$B:$B,$A7,Tests!$H:$H,"Blocked")</f>
        <v>0</v>
      </c>
      <c r="F7" s="2" t="n">
        <f aca="false">COUNTIFS(Tests!$B:$B,$A7,Tests!$H:$H,"N/A")</f>
        <v>0</v>
      </c>
      <c r="G7" s="2" t="n">
        <f aca="false">COUNTIFS(Tests!$B:$B,$A7,Tests!$H:$H,"Not run")</f>
        <v>13</v>
      </c>
      <c r="H7" s="3" t="n">
        <f aca="false">IF(B7=0,0,(B7-G7)/B7)</f>
        <v>0</v>
      </c>
    </row>
    <row r="8" customFormat="false" ht="15" hidden="false" customHeight="false" outlineLevel="0" collapsed="false">
      <c r="A8" s="2" t="s">
        <v>14</v>
      </c>
      <c r="B8" s="2" t="n">
        <f aca="false">COUNTIF(Tests!$B:$B,$A8)</f>
        <v>13</v>
      </c>
      <c r="C8" s="2" t="n">
        <f aca="false">COUNTIFS(Tests!$B:$B,$A8,Tests!$H:$H,"Pass")</f>
        <v>0</v>
      </c>
      <c r="D8" s="2" t="n">
        <f aca="false">COUNTIFS(Tests!$B:$B,$A8,Tests!$H:$H,"Fail")</f>
        <v>0</v>
      </c>
      <c r="E8" s="2" t="n">
        <f aca="false">COUNTIFS(Tests!$B:$B,$A8,Tests!$H:$H,"Blocked")</f>
        <v>0</v>
      </c>
      <c r="F8" s="2" t="n">
        <f aca="false">COUNTIFS(Tests!$B:$B,$A8,Tests!$H:$H,"N/A")</f>
        <v>0</v>
      </c>
      <c r="G8" s="2" t="n">
        <f aca="false">COUNTIFS(Tests!$B:$B,$A8,Tests!$H:$H,"Not run")</f>
        <v>13</v>
      </c>
      <c r="H8" s="3" t="n">
        <f aca="false">IF(B8=0,0,(B8-G8)/B8)</f>
        <v>0</v>
      </c>
    </row>
    <row r="9" customFormat="false" ht="15" hidden="false" customHeight="false" outlineLevel="0" collapsed="false">
      <c r="A9" s="2" t="s">
        <v>15</v>
      </c>
      <c r="B9" s="2" t="n">
        <f aca="false">COUNTIF(Tests!$B:$B,$A9)</f>
        <v>16</v>
      </c>
      <c r="C9" s="2" t="n">
        <f aca="false">COUNTIFS(Tests!$B:$B,$A9,Tests!$H:$H,"Pass")</f>
        <v>0</v>
      </c>
      <c r="D9" s="2" t="n">
        <f aca="false">COUNTIFS(Tests!$B:$B,$A9,Tests!$H:$H,"Fail")</f>
        <v>0</v>
      </c>
      <c r="E9" s="2" t="n">
        <f aca="false">COUNTIFS(Tests!$B:$B,$A9,Tests!$H:$H,"Blocked")</f>
        <v>0</v>
      </c>
      <c r="F9" s="2" t="n">
        <f aca="false">COUNTIFS(Tests!$B:$B,$A9,Tests!$H:$H,"N/A")</f>
        <v>0</v>
      </c>
      <c r="G9" s="2" t="n">
        <f aca="false">COUNTIFS(Tests!$B:$B,$A9,Tests!$H:$H,"Not run")</f>
        <v>16</v>
      </c>
      <c r="H9" s="3" t="n">
        <f aca="false">IF(B9=0,0,(B9-G9)/B9)</f>
        <v>0</v>
      </c>
    </row>
    <row r="10" customFormat="false" ht="15" hidden="false" customHeight="false" outlineLevel="0" collapsed="false">
      <c r="A10" s="2" t="s">
        <v>16</v>
      </c>
      <c r="B10" s="2" t="n">
        <f aca="false">COUNTIF(Tests!$B:$B,$A10)</f>
        <v>11</v>
      </c>
      <c r="C10" s="2" t="n">
        <f aca="false">COUNTIFS(Tests!$B:$B,$A10,Tests!$H:$H,"Pass")</f>
        <v>0</v>
      </c>
      <c r="D10" s="2" t="n">
        <f aca="false">COUNTIFS(Tests!$B:$B,$A10,Tests!$H:$H,"Fail")</f>
        <v>0</v>
      </c>
      <c r="E10" s="2" t="n">
        <f aca="false">COUNTIFS(Tests!$B:$B,$A10,Tests!$H:$H,"Blocked")</f>
        <v>0</v>
      </c>
      <c r="F10" s="2" t="n">
        <f aca="false">COUNTIFS(Tests!$B:$B,$A10,Tests!$H:$H,"N/A")</f>
        <v>0</v>
      </c>
      <c r="G10" s="2" t="n">
        <f aca="false">COUNTIFS(Tests!$B:$B,$A10,Tests!$H:$H,"Not run")</f>
        <v>11</v>
      </c>
      <c r="H10" s="3" t="n">
        <f aca="false">IF(B10=0,0,(B10-G10)/B10)</f>
        <v>0</v>
      </c>
    </row>
    <row r="11" customFormat="false" ht="15" hidden="false" customHeight="false" outlineLevel="0" collapsed="false">
      <c r="A11" s="2" t="s">
        <v>17</v>
      </c>
      <c r="B11" s="2" t="n">
        <f aca="false">COUNTIF(Tests!$B:$B,$A11)</f>
        <v>12</v>
      </c>
      <c r="C11" s="2" t="n">
        <f aca="false">COUNTIFS(Tests!$B:$B,$A11,Tests!$H:$H,"Pass")</f>
        <v>0</v>
      </c>
      <c r="D11" s="2" t="n">
        <f aca="false">COUNTIFS(Tests!$B:$B,$A11,Tests!$H:$H,"Fail")</f>
        <v>0</v>
      </c>
      <c r="E11" s="2" t="n">
        <f aca="false">COUNTIFS(Tests!$B:$B,$A11,Tests!$H:$H,"Blocked")</f>
        <v>0</v>
      </c>
      <c r="F11" s="2" t="n">
        <f aca="false">COUNTIFS(Tests!$B:$B,$A11,Tests!$H:$H,"N/A")</f>
        <v>0</v>
      </c>
      <c r="G11" s="2" t="n">
        <f aca="false">COUNTIFS(Tests!$B:$B,$A11,Tests!$H:$H,"Not run")</f>
        <v>12</v>
      </c>
      <c r="H11" s="3" t="n">
        <f aca="false">IF(B11=0,0,(B11-G11)/B11)</f>
        <v>0</v>
      </c>
    </row>
    <row r="12" customFormat="false" ht="15" hidden="false" customHeight="false" outlineLevel="0" collapsed="false">
      <c r="A12" s="2" t="s">
        <v>18</v>
      </c>
      <c r="B12" s="2" t="n">
        <f aca="false">COUNTIF(Tests!$B:$B,$A12)</f>
        <v>8</v>
      </c>
      <c r="C12" s="2" t="n">
        <f aca="false">COUNTIFS(Tests!$B:$B,$A12,Tests!$H:$H,"Pass")</f>
        <v>0</v>
      </c>
      <c r="D12" s="2" t="n">
        <f aca="false">COUNTIFS(Tests!$B:$B,$A12,Tests!$H:$H,"Fail")</f>
        <v>0</v>
      </c>
      <c r="E12" s="2" t="n">
        <f aca="false">COUNTIFS(Tests!$B:$B,$A12,Tests!$H:$H,"Blocked")</f>
        <v>0</v>
      </c>
      <c r="F12" s="2" t="n">
        <f aca="false">COUNTIFS(Tests!$B:$B,$A12,Tests!$H:$H,"N/A")</f>
        <v>0</v>
      </c>
      <c r="G12" s="2" t="n">
        <f aca="false">COUNTIFS(Tests!$B:$B,$A12,Tests!$H:$H,"Not run")</f>
        <v>8</v>
      </c>
      <c r="H12" s="3" t="n">
        <f aca="false">IF(B12=0,0,(B12-G12)/B12)</f>
        <v>0</v>
      </c>
    </row>
    <row r="13" customFormat="false" ht="15" hidden="false" customHeight="false" outlineLevel="0" collapsed="false">
      <c r="A13" s="2" t="s">
        <v>19</v>
      </c>
      <c r="B13" s="2" t="n">
        <f aca="false">COUNTIF(Tests!$B:$B,$A13)</f>
        <v>15</v>
      </c>
      <c r="C13" s="2" t="n">
        <f aca="false">COUNTIFS(Tests!$B:$B,$A13,Tests!$H:$H,"Pass")</f>
        <v>0</v>
      </c>
      <c r="D13" s="2" t="n">
        <f aca="false">COUNTIFS(Tests!$B:$B,$A13,Tests!$H:$H,"Fail")</f>
        <v>0</v>
      </c>
      <c r="E13" s="2" t="n">
        <f aca="false">COUNTIFS(Tests!$B:$B,$A13,Tests!$H:$H,"Blocked")</f>
        <v>0</v>
      </c>
      <c r="F13" s="2" t="n">
        <f aca="false">COUNTIFS(Tests!$B:$B,$A13,Tests!$H:$H,"N/A")</f>
        <v>0</v>
      </c>
      <c r="G13" s="2" t="n">
        <f aca="false">COUNTIFS(Tests!$B:$B,$A13,Tests!$H:$H,"Not run")</f>
        <v>15</v>
      </c>
      <c r="H13" s="3" t="n">
        <f aca="false">IF(B13=0,0,(B13-G13)/B13)</f>
        <v>0</v>
      </c>
    </row>
    <row r="14" customFormat="false" ht="15" hidden="false" customHeight="false" outlineLevel="0" collapsed="false">
      <c r="A14" s="2" t="s">
        <v>20</v>
      </c>
      <c r="B14" s="2" t="n">
        <f aca="false">COUNTIF(Tests!$B:$B,$A14)</f>
        <v>24</v>
      </c>
      <c r="C14" s="2" t="n">
        <f aca="false">COUNTIFS(Tests!$B:$B,$A14,Tests!$H:$H,"Pass")</f>
        <v>0</v>
      </c>
      <c r="D14" s="2" t="n">
        <f aca="false">COUNTIFS(Tests!$B:$B,$A14,Tests!$H:$H,"Fail")</f>
        <v>0</v>
      </c>
      <c r="E14" s="2" t="n">
        <f aca="false">COUNTIFS(Tests!$B:$B,$A14,Tests!$H:$H,"Blocked")</f>
        <v>0</v>
      </c>
      <c r="F14" s="2" t="n">
        <f aca="false">COUNTIFS(Tests!$B:$B,$A14,Tests!$H:$H,"N/A")</f>
        <v>0</v>
      </c>
      <c r="G14" s="2" t="n">
        <f aca="false">COUNTIFS(Tests!$B:$B,$A14,Tests!$H:$H,"Not run")</f>
        <v>24</v>
      </c>
      <c r="H14" s="3" t="n">
        <f aca="false">IF(B14=0,0,(B14-G14)/B14)</f>
        <v>0</v>
      </c>
    </row>
    <row r="15" customFormat="false" ht="15" hidden="false" customHeight="false" outlineLevel="0" collapsed="false">
      <c r="A15" s="2" t="s">
        <v>21</v>
      </c>
      <c r="B15" s="2" t="n">
        <f aca="false">COUNTIF(Tests!$B:$B,$A15)</f>
        <v>24</v>
      </c>
      <c r="C15" s="2" t="n">
        <f aca="false">COUNTIFS(Tests!$B:$B,$A15,Tests!$H:$H,"Pass")</f>
        <v>0</v>
      </c>
      <c r="D15" s="2" t="n">
        <f aca="false">COUNTIFS(Tests!$B:$B,$A15,Tests!$H:$H,"Fail")</f>
        <v>0</v>
      </c>
      <c r="E15" s="2" t="n">
        <f aca="false">COUNTIFS(Tests!$B:$B,$A15,Tests!$H:$H,"Blocked")</f>
        <v>0</v>
      </c>
      <c r="F15" s="2" t="n">
        <f aca="false">COUNTIFS(Tests!$B:$B,$A15,Tests!$H:$H,"N/A")</f>
        <v>0</v>
      </c>
      <c r="G15" s="2" t="n">
        <f aca="false">COUNTIFS(Tests!$B:$B,$A15,Tests!$H:$H,"Not run")</f>
        <v>24</v>
      </c>
      <c r="H15" s="3" t="n">
        <f aca="false">IF(B15=0,0,(B15-G15)/B15)</f>
        <v>0</v>
      </c>
    </row>
    <row r="16" customFormat="false" ht="15" hidden="false" customHeight="false" outlineLevel="0" collapsed="false">
      <c r="A16" s="2" t="s">
        <v>22</v>
      </c>
      <c r="B16" s="2" t="n">
        <f aca="false">COUNTIF(Tests!$B:$B,$A16)</f>
        <v>16</v>
      </c>
      <c r="C16" s="2" t="n">
        <f aca="false">COUNTIFS(Tests!$B:$B,$A16,Tests!$H:$H,"Pass")</f>
        <v>0</v>
      </c>
      <c r="D16" s="2" t="n">
        <f aca="false">COUNTIFS(Tests!$B:$B,$A16,Tests!$H:$H,"Fail")</f>
        <v>0</v>
      </c>
      <c r="E16" s="2" t="n">
        <f aca="false">COUNTIFS(Tests!$B:$B,$A16,Tests!$H:$H,"Blocked")</f>
        <v>0</v>
      </c>
      <c r="F16" s="2" t="n">
        <f aca="false">COUNTIFS(Tests!$B:$B,$A16,Tests!$H:$H,"N/A")</f>
        <v>0</v>
      </c>
      <c r="G16" s="2" t="n">
        <f aca="false">COUNTIFS(Tests!$B:$B,$A16,Tests!$H:$H,"Not run")</f>
        <v>16</v>
      </c>
      <c r="H16" s="3" t="n">
        <f aca="false">IF(B16=0,0,(B16-G16)/B16)</f>
        <v>0</v>
      </c>
    </row>
    <row r="17" customFormat="false" ht="15" hidden="false" customHeight="false" outlineLevel="0" collapsed="false">
      <c r="A17" s="2" t="s">
        <v>23</v>
      </c>
      <c r="B17" s="2" t="n">
        <f aca="false">COUNTIF(Tests!$B:$B,$A17)</f>
        <v>6</v>
      </c>
      <c r="C17" s="2" t="n">
        <f aca="false">COUNTIFS(Tests!$B:$B,$A17,Tests!$H:$H,"Pass")</f>
        <v>0</v>
      </c>
      <c r="D17" s="2" t="n">
        <f aca="false">COUNTIFS(Tests!$B:$B,$A17,Tests!$H:$H,"Fail")</f>
        <v>0</v>
      </c>
      <c r="E17" s="2" t="n">
        <f aca="false">COUNTIFS(Tests!$B:$B,$A17,Tests!$H:$H,"Blocked")</f>
        <v>0</v>
      </c>
      <c r="F17" s="2" t="n">
        <f aca="false">COUNTIFS(Tests!$B:$B,$A17,Tests!$H:$H,"N/A")</f>
        <v>0</v>
      </c>
      <c r="G17" s="2" t="n">
        <f aca="false">COUNTIFS(Tests!$B:$B,$A17,Tests!$H:$H,"Not run")</f>
        <v>6</v>
      </c>
      <c r="H17" s="3" t="n">
        <f aca="false">IF(B17=0,0,(B17-G17)/B17)</f>
        <v>0</v>
      </c>
    </row>
    <row r="18" customFormat="false" ht="15" hidden="false" customHeight="false" outlineLevel="0" collapsed="false">
      <c r="A18" s="2" t="s">
        <v>24</v>
      </c>
      <c r="B18" s="2" t="n">
        <f aca="false">COUNTIF(Tests!$B:$B,$A18)</f>
        <v>29</v>
      </c>
      <c r="C18" s="2" t="n">
        <f aca="false">COUNTIFS(Tests!$B:$B,$A18,Tests!$H:$H,"Pass")</f>
        <v>0</v>
      </c>
      <c r="D18" s="2" t="n">
        <f aca="false">COUNTIFS(Tests!$B:$B,$A18,Tests!$H:$H,"Fail")</f>
        <v>0</v>
      </c>
      <c r="E18" s="2" t="n">
        <f aca="false">COUNTIFS(Tests!$B:$B,$A18,Tests!$H:$H,"Blocked")</f>
        <v>0</v>
      </c>
      <c r="F18" s="2" t="n">
        <f aca="false">COUNTIFS(Tests!$B:$B,$A18,Tests!$H:$H,"N/A")</f>
        <v>0</v>
      </c>
      <c r="G18" s="2" t="n">
        <f aca="false">COUNTIFS(Tests!$B:$B,$A18,Tests!$H:$H,"Not run")</f>
        <v>29</v>
      </c>
      <c r="H18" s="3" t="n">
        <f aca="false">IF(B18=0,0,(B18-G18)/B18)</f>
        <v>0</v>
      </c>
    </row>
    <row r="19" customFormat="false" ht="15" hidden="false" customHeight="false" outlineLevel="0" collapsed="false">
      <c r="A19" s="2" t="s">
        <v>25</v>
      </c>
      <c r="B19" s="2" t="n">
        <f aca="false">COUNTIF(Tests!$B:$B,$A19)</f>
        <v>13</v>
      </c>
      <c r="C19" s="2" t="n">
        <f aca="false">COUNTIFS(Tests!$B:$B,$A19,Tests!$H:$H,"Pass")</f>
        <v>0</v>
      </c>
      <c r="D19" s="2" t="n">
        <f aca="false">COUNTIFS(Tests!$B:$B,$A19,Tests!$H:$H,"Fail")</f>
        <v>0</v>
      </c>
      <c r="E19" s="2" t="n">
        <f aca="false">COUNTIFS(Tests!$B:$B,$A19,Tests!$H:$H,"Blocked")</f>
        <v>0</v>
      </c>
      <c r="F19" s="2" t="n">
        <f aca="false">COUNTIFS(Tests!$B:$B,$A19,Tests!$H:$H,"N/A")</f>
        <v>0</v>
      </c>
      <c r="G19" s="2" t="n">
        <f aca="false">COUNTIFS(Tests!$B:$B,$A19,Tests!$H:$H,"Not run")</f>
        <v>13</v>
      </c>
      <c r="H19" s="3" t="n">
        <f aca="false">IF(B19=0,0,(B19-G19)/B19)</f>
        <v>0</v>
      </c>
    </row>
    <row r="20" customFormat="false" ht="15" hidden="false" customHeight="false" outlineLevel="0" collapsed="false">
      <c r="A20" s="2" t="s">
        <v>26</v>
      </c>
      <c r="B20" s="2" t="n">
        <f aca="false">COUNTIF(Tests!$B:$B,$A20)</f>
        <v>7</v>
      </c>
      <c r="C20" s="2" t="n">
        <f aca="false">COUNTIFS(Tests!$B:$B,$A20,Tests!$H:$H,"Pass")</f>
        <v>0</v>
      </c>
      <c r="D20" s="2" t="n">
        <f aca="false">COUNTIFS(Tests!$B:$B,$A20,Tests!$H:$H,"Fail")</f>
        <v>0</v>
      </c>
      <c r="E20" s="2" t="n">
        <f aca="false">COUNTIFS(Tests!$B:$B,$A20,Tests!$H:$H,"Blocked")</f>
        <v>0</v>
      </c>
      <c r="F20" s="2" t="n">
        <f aca="false">COUNTIFS(Tests!$B:$B,$A20,Tests!$H:$H,"N/A")</f>
        <v>0</v>
      </c>
      <c r="G20" s="2" t="n">
        <f aca="false">COUNTIFS(Tests!$B:$B,$A20,Tests!$H:$H,"Not run")</f>
        <v>7</v>
      </c>
      <c r="H20" s="3" t="n">
        <f aca="false">IF(B20=0,0,(B20-G20)/B20)</f>
        <v>0</v>
      </c>
    </row>
    <row r="21" customFormat="false" ht="15" hidden="false" customHeight="false" outlineLevel="0" collapsed="false">
      <c r="A21" s="2" t="s">
        <v>27</v>
      </c>
      <c r="B21" s="2" t="n">
        <f aca="false">COUNTIF(Tests!$B:$B,$A21)</f>
        <v>8</v>
      </c>
      <c r="C21" s="2" t="n">
        <f aca="false">COUNTIFS(Tests!$B:$B,$A21,Tests!$H:$H,"Pass")</f>
        <v>0</v>
      </c>
      <c r="D21" s="2" t="n">
        <f aca="false">COUNTIFS(Tests!$B:$B,$A21,Tests!$H:$H,"Fail")</f>
        <v>0</v>
      </c>
      <c r="E21" s="2" t="n">
        <f aca="false">COUNTIFS(Tests!$B:$B,$A21,Tests!$H:$H,"Blocked")</f>
        <v>0</v>
      </c>
      <c r="F21" s="2" t="n">
        <f aca="false">COUNTIFS(Tests!$B:$B,$A21,Tests!$H:$H,"N/A")</f>
        <v>0</v>
      </c>
      <c r="G21" s="2" t="n">
        <f aca="false">COUNTIFS(Tests!$B:$B,$A21,Tests!$H:$H,"Not run")</f>
        <v>8</v>
      </c>
      <c r="H21" s="3" t="n">
        <f aca="false">IF(B21=0,0,(B21-G21)/B21)</f>
        <v>0</v>
      </c>
    </row>
    <row r="22" customFormat="false" ht="15" hidden="false" customHeight="false" outlineLevel="0" collapsed="false">
      <c r="A22" s="2" t="s">
        <v>28</v>
      </c>
      <c r="B22" s="2" t="n">
        <f aca="false">COUNTIF(Tests!$B:$B,$A22)</f>
        <v>4</v>
      </c>
      <c r="C22" s="2" t="n">
        <f aca="false">COUNTIFS(Tests!$B:$B,$A22,Tests!$H:$H,"Pass")</f>
        <v>0</v>
      </c>
      <c r="D22" s="2" t="n">
        <f aca="false">COUNTIFS(Tests!$B:$B,$A22,Tests!$H:$H,"Fail")</f>
        <v>0</v>
      </c>
      <c r="E22" s="2" t="n">
        <f aca="false">COUNTIFS(Tests!$B:$B,$A22,Tests!$H:$H,"Blocked")</f>
        <v>0</v>
      </c>
      <c r="F22" s="2" t="n">
        <f aca="false">COUNTIFS(Tests!$B:$B,$A22,Tests!$H:$H,"N/A")</f>
        <v>0</v>
      </c>
      <c r="G22" s="2" t="n">
        <f aca="false">COUNTIFS(Tests!$B:$B,$A22,Tests!$H:$H,"Not run")</f>
        <v>4</v>
      </c>
      <c r="H22" s="3" t="n">
        <f aca="false">IF(B22=0,0,(B22-G22)/B22)</f>
        <v>0</v>
      </c>
    </row>
    <row r="23" customFormat="false" ht="15" hidden="false" customHeight="false" outlineLevel="0" collapsed="false">
      <c r="A23" s="2" t="s">
        <v>29</v>
      </c>
      <c r="B23" s="2" t="n">
        <f aca="false">COUNTIF(Tests!$B:$B,$A23)</f>
        <v>12</v>
      </c>
      <c r="C23" s="2" t="n">
        <f aca="false">COUNTIFS(Tests!$B:$B,$A23,Tests!$H:$H,"Pass")</f>
        <v>0</v>
      </c>
      <c r="D23" s="2" t="n">
        <f aca="false">COUNTIFS(Tests!$B:$B,$A23,Tests!$H:$H,"Fail")</f>
        <v>0</v>
      </c>
      <c r="E23" s="2" t="n">
        <f aca="false">COUNTIFS(Tests!$B:$B,$A23,Tests!$H:$H,"Blocked")</f>
        <v>0</v>
      </c>
      <c r="F23" s="2" t="n">
        <f aca="false">COUNTIFS(Tests!$B:$B,$A23,Tests!$H:$H,"N/A")</f>
        <v>0</v>
      </c>
      <c r="G23" s="2" t="n">
        <f aca="false">COUNTIFS(Tests!$B:$B,$A23,Tests!$H:$H,"Not run")</f>
        <v>12</v>
      </c>
      <c r="H23" s="3" t="n">
        <f aca="false">IF(B23=0,0,(B23-G23)/B23)</f>
        <v>0</v>
      </c>
    </row>
    <row r="24" customFormat="false" ht="15" hidden="false" customHeight="false" outlineLevel="0" collapsed="false">
      <c r="A24" s="2" t="s">
        <v>30</v>
      </c>
      <c r="B24" s="2" t="n">
        <f aca="false">COUNTIF(Tests!$B:$B,$A24)</f>
        <v>11</v>
      </c>
      <c r="C24" s="2" t="n">
        <f aca="false">COUNTIFS(Tests!$B:$B,$A24,Tests!$H:$H,"Pass")</f>
        <v>0</v>
      </c>
      <c r="D24" s="2" t="n">
        <f aca="false">COUNTIFS(Tests!$B:$B,$A24,Tests!$H:$H,"Fail")</f>
        <v>0</v>
      </c>
      <c r="E24" s="2" t="n">
        <f aca="false">COUNTIFS(Tests!$B:$B,$A24,Tests!$H:$H,"Blocked")</f>
        <v>0</v>
      </c>
      <c r="F24" s="2" t="n">
        <f aca="false">COUNTIFS(Tests!$B:$B,$A24,Tests!$H:$H,"N/A")</f>
        <v>0</v>
      </c>
      <c r="G24" s="2" t="n">
        <f aca="false">COUNTIFS(Tests!$B:$B,$A24,Tests!$H:$H,"Not run")</f>
        <v>11</v>
      </c>
      <c r="H24" s="3" t="n">
        <f aca="false">IF(B24=0,0,(B24-G24)/B24)</f>
        <v>0</v>
      </c>
    </row>
    <row r="25" customFormat="false" ht="15" hidden="false" customHeight="false" outlineLevel="0" collapsed="false">
      <c r="A25" s="2" t="s">
        <v>31</v>
      </c>
      <c r="B25" s="2" t="n">
        <f aca="false">COUNTIF(Tests!$B:$B,$A25)</f>
        <v>6</v>
      </c>
      <c r="C25" s="2" t="n">
        <f aca="false">COUNTIFS(Tests!$B:$B,$A25,Tests!$H:$H,"Pass")</f>
        <v>0</v>
      </c>
      <c r="D25" s="2" t="n">
        <f aca="false">COUNTIFS(Tests!$B:$B,$A25,Tests!$H:$H,"Fail")</f>
        <v>0</v>
      </c>
      <c r="E25" s="2" t="n">
        <f aca="false">COUNTIFS(Tests!$B:$B,$A25,Tests!$H:$H,"Blocked")</f>
        <v>0</v>
      </c>
      <c r="F25" s="2" t="n">
        <f aca="false">COUNTIFS(Tests!$B:$B,$A25,Tests!$H:$H,"N/A")</f>
        <v>0</v>
      </c>
      <c r="G25" s="2" t="n">
        <f aca="false">COUNTIFS(Tests!$B:$B,$A25,Tests!$H:$H,"Not run")</f>
        <v>6</v>
      </c>
      <c r="H25" s="3" t="n">
        <f aca="false">IF(B25=0,0,(B25-G25)/B25)</f>
        <v>0</v>
      </c>
    </row>
    <row r="26" customFormat="false" ht="15" hidden="false" customHeight="false" outlineLevel="0" collapsed="false">
      <c r="A26" s="2" t="s">
        <v>32</v>
      </c>
      <c r="B26" s="2" t="n">
        <f aca="false">COUNTIF(Tests!$B:$B,$A26)</f>
        <v>18</v>
      </c>
      <c r="C26" s="2" t="n">
        <f aca="false">COUNTIFS(Tests!$B:$B,$A26,Tests!$H:$H,"Pass")</f>
        <v>0</v>
      </c>
      <c r="D26" s="2" t="n">
        <f aca="false">COUNTIFS(Tests!$B:$B,$A26,Tests!$H:$H,"Fail")</f>
        <v>0</v>
      </c>
      <c r="E26" s="2" t="n">
        <f aca="false">COUNTIFS(Tests!$B:$B,$A26,Tests!$H:$H,"Blocked")</f>
        <v>0</v>
      </c>
      <c r="F26" s="2" t="n">
        <f aca="false">COUNTIFS(Tests!$B:$B,$A26,Tests!$H:$H,"N/A")</f>
        <v>0</v>
      </c>
      <c r="G26" s="2" t="n">
        <f aca="false">COUNTIFS(Tests!$B:$B,$A26,Tests!$H:$H,"Not run")</f>
        <v>18</v>
      </c>
      <c r="H26" s="3" t="n">
        <f aca="false">IF(B26=0,0,(B26-G26)/B26)</f>
        <v>0</v>
      </c>
    </row>
    <row r="27" customFormat="false" ht="15" hidden="false" customHeight="false" outlineLevel="0" collapsed="false">
      <c r="A27" s="2" t="s">
        <v>33</v>
      </c>
      <c r="B27" s="2" t="n">
        <f aca="false">COUNTIF(Tests!$B:$B,$A27)</f>
        <v>6</v>
      </c>
      <c r="C27" s="2" t="n">
        <f aca="false">COUNTIFS(Tests!$B:$B,$A27,Tests!$H:$H,"Pass")</f>
        <v>0</v>
      </c>
      <c r="D27" s="2" t="n">
        <f aca="false">COUNTIFS(Tests!$B:$B,$A27,Tests!$H:$H,"Fail")</f>
        <v>0</v>
      </c>
      <c r="E27" s="2" t="n">
        <f aca="false">COUNTIFS(Tests!$B:$B,$A27,Tests!$H:$H,"Blocked")</f>
        <v>0</v>
      </c>
      <c r="F27" s="2" t="n">
        <f aca="false">COUNTIFS(Tests!$B:$B,$A27,Tests!$H:$H,"N/A")</f>
        <v>0</v>
      </c>
      <c r="G27" s="2" t="n">
        <f aca="false">COUNTIFS(Tests!$B:$B,$A27,Tests!$H:$H,"Not run")</f>
        <v>6</v>
      </c>
      <c r="H27" s="3" t="n">
        <f aca="false">IF(B27=0,0,(B27-G27)/B27)</f>
        <v>0</v>
      </c>
    </row>
    <row r="28" customFormat="false" ht="15" hidden="false" customHeight="false" outlineLevel="0" collapsed="false">
      <c r="A28" s="2" t="s">
        <v>34</v>
      </c>
      <c r="B28" s="2" t="n">
        <f aca="false">COUNTIF(Tests!$B:$B,$A28)</f>
        <v>9</v>
      </c>
      <c r="C28" s="2" t="n">
        <f aca="false">COUNTIFS(Tests!$B:$B,$A28,Tests!$H:$H,"Pass")</f>
        <v>0</v>
      </c>
      <c r="D28" s="2" t="n">
        <f aca="false">COUNTIFS(Tests!$B:$B,$A28,Tests!$H:$H,"Fail")</f>
        <v>0</v>
      </c>
      <c r="E28" s="2" t="n">
        <f aca="false">COUNTIFS(Tests!$B:$B,$A28,Tests!$H:$H,"Blocked")</f>
        <v>0</v>
      </c>
      <c r="F28" s="2" t="n">
        <f aca="false">COUNTIFS(Tests!$B:$B,$A28,Tests!$H:$H,"N/A")</f>
        <v>0</v>
      </c>
      <c r="G28" s="2" t="n">
        <f aca="false">COUNTIFS(Tests!$B:$B,$A28,Tests!$H:$H,"Not run")</f>
        <v>9</v>
      </c>
      <c r="H28" s="3" t="n">
        <f aca="false">IF(B28=0,0,(B28-G28)/B28)</f>
        <v>0</v>
      </c>
    </row>
    <row r="29" customFormat="false" ht="15" hidden="false" customHeight="false" outlineLevel="0" collapsed="false">
      <c r="A29" s="2" t="s">
        <v>35</v>
      </c>
      <c r="B29" s="2" t="n">
        <f aca="false">COUNTIF(Tests!$B:$B,$A29)</f>
        <v>8</v>
      </c>
      <c r="C29" s="2" t="n">
        <f aca="false">COUNTIFS(Tests!$B:$B,$A29,Tests!$H:$H,"Pass")</f>
        <v>0</v>
      </c>
      <c r="D29" s="2" t="n">
        <f aca="false">COUNTIFS(Tests!$B:$B,$A29,Tests!$H:$H,"Fail")</f>
        <v>0</v>
      </c>
      <c r="E29" s="2" t="n">
        <f aca="false">COUNTIFS(Tests!$B:$B,$A29,Tests!$H:$H,"Blocked")</f>
        <v>0</v>
      </c>
      <c r="F29" s="2" t="n">
        <f aca="false">COUNTIFS(Tests!$B:$B,$A29,Tests!$H:$H,"N/A")</f>
        <v>0</v>
      </c>
      <c r="G29" s="2" t="n">
        <f aca="false">COUNTIFS(Tests!$B:$B,$A29,Tests!$H:$H,"Not run")</f>
        <v>8</v>
      </c>
      <c r="H29" s="3" t="n">
        <f aca="false">IF(B29=0,0,(B29-G29)/B29)</f>
        <v>0</v>
      </c>
    </row>
    <row r="30" customFormat="false" ht="15" hidden="false" customHeight="false" outlineLevel="0" collapsed="false">
      <c r="A30" s="2" t="s">
        <v>36</v>
      </c>
      <c r="B30" s="2" t="n">
        <f aca="false">COUNTIF(Tests!$B:$B,$A30)</f>
        <v>9</v>
      </c>
      <c r="C30" s="2" t="n">
        <f aca="false">COUNTIFS(Tests!$B:$B,$A30,Tests!$H:$H,"Pass")</f>
        <v>0</v>
      </c>
      <c r="D30" s="2" t="n">
        <f aca="false">COUNTIFS(Tests!$B:$B,$A30,Tests!$H:$H,"Fail")</f>
        <v>0</v>
      </c>
      <c r="E30" s="2" t="n">
        <f aca="false">COUNTIFS(Tests!$B:$B,$A30,Tests!$H:$H,"Blocked")</f>
        <v>0</v>
      </c>
      <c r="F30" s="2" t="n">
        <f aca="false">COUNTIFS(Tests!$B:$B,$A30,Tests!$H:$H,"N/A")</f>
        <v>0</v>
      </c>
      <c r="G30" s="2" t="n">
        <f aca="false">COUNTIFS(Tests!$B:$B,$A30,Tests!$H:$H,"Not run")</f>
        <v>9</v>
      </c>
      <c r="H30" s="3" t="n">
        <f aca="false">IF(B30=0,0,(B30-G30)/B30)</f>
        <v>0</v>
      </c>
    </row>
    <row r="31" customFormat="false" ht="15" hidden="false" customHeight="false" outlineLevel="0" collapsed="false">
      <c r="A31" s="2" t="s">
        <v>37</v>
      </c>
      <c r="B31" s="2" t="n">
        <f aca="false">COUNTIF(Tests!$B:$B,$A31)</f>
        <v>9</v>
      </c>
      <c r="C31" s="2" t="n">
        <f aca="false">COUNTIFS(Tests!$B:$B,$A31,Tests!$H:$H,"Pass")</f>
        <v>0</v>
      </c>
      <c r="D31" s="2" t="n">
        <f aca="false">COUNTIFS(Tests!$B:$B,$A31,Tests!$H:$H,"Fail")</f>
        <v>0</v>
      </c>
      <c r="E31" s="2" t="n">
        <f aca="false">COUNTIFS(Tests!$B:$B,$A31,Tests!$H:$H,"Blocked")</f>
        <v>0</v>
      </c>
      <c r="F31" s="2" t="n">
        <f aca="false">COUNTIFS(Tests!$B:$B,$A31,Tests!$H:$H,"N/A")</f>
        <v>0</v>
      </c>
      <c r="G31" s="2" t="n">
        <f aca="false">COUNTIFS(Tests!$B:$B,$A31,Tests!$H:$H,"Not run")</f>
        <v>9</v>
      </c>
      <c r="H31" s="3" t="n">
        <f aca="false">IF(B31=0,0,(B31-G31)/B31)</f>
        <v>0</v>
      </c>
    </row>
    <row r="32" customFormat="false" ht="15" hidden="false" customHeight="false" outlineLevel="0" collapsed="false">
      <c r="A32" s="2" t="s">
        <v>38</v>
      </c>
      <c r="B32" s="2" t="n">
        <f aca="false">COUNTIF(Tests!$B:$B,$A32)</f>
        <v>25</v>
      </c>
      <c r="C32" s="2" t="n">
        <f aca="false">COUNTIFS(Tests!$B:$B,$A32,Tests!$H:$H,"Pass")</f>
        <v>0</v>
      </c>
      <c r="D32" s="2" t="n">
        <f aca="false">COUNTIFS(Tests!$B:$B,$A32,Tests!$H:$H,"Fail")</f>
        <v>0</v>
      </c>
      <c r="E32" s="2" t="n">
        <f aca="false">COUNTIFS(Tests!$B:$B,$A32,Tests!$H:$H,"Blocked")</f>
        <v>0</v>
      </c>
      <c r="F32" s="2" t="n">
        <f aca="false">COUNTIFS(Tests!$B:$B,$A32,Tests!$H:$H,"N/A")</f>
        <v>0</v>
      </c>
      <c r="G32" s="2" t="n">
        <f aca="false">COUNTIFS(Tests!$B:$B,$A32,Tests!$H:$H,"Not run")</f>
        <v>25</v>
      </c>
      <c r="H32" s="3" t="n">
        <f aca="false">IF(B32=0,0,(B32-G32)/B32)</f>
        <v>0</v>
      </c>
    </row>
    <row r="33" customFormat="false" ht="15" hidden="false" customHeight="false" outlineLevel="0" collapsed="false">
      <c r="A33" s="2" t="s">
        <v>39</v>
      </c>
      <c r="B33" s="2" t="n">
        <f aca="false">COUNTIF(Tests!$B:$B,$A33)</f>
        <v>11</v>
      </c>
      <c r="C33" s="2" t="n">
        <f aca="false">COUNTIFS(Tests!$B:$B,$A33,Tests!$H:$H,"Pass")</f>
        <v>0</v>
      </c>
      <c r="D33" s="2" t="n">
        <f aca="false">COUNTIFS(Tests!$B:$B,$A33,Tests!$H:$H,"Fail")</f>
        <v>0</v>
      </c>
      <c r="E33" s="2" t="n">
        <f aca="false">COUNTIFS(Tests!$B:$B,$A33,Tests!$H:$H,"Blocked")</f>
        <v>0</v>
      </c>
      <c r="F33" s="2" t="n">
        <f aca="false">COUNTIFS(Tests!$B:$B,$A33,Tests!$H:$H,"N/A")</f>
        <v>0</v>
      </c>
      <c r="G33" s="2" t="n">
        <f aca="false">COUNTIFS(Tests!$B:$B,$A33,Tests!$H:$H,"Not run")</f>
        <v>11</v>
      </c>
      <c r="H33" s="3" t="n">
        <f aca="false">IF(B33=0,0,(B33-G33)/B33)</f>
        <v>0</v>
      </c>
    </row>
    <row r="34" customFormat="false" ht="15" hidden="false" customHeight="false" outlineLevel="0" collapsed="false">
      <c r="A34" s="2" t="s">
        <v>40</v>
      </c>
      <c r="B34" s="2" t="n">
        <f aca="false">COUNTIF(Tests!$B:$B,$A34)</f>
        <v>8</v>
      </c>
      <c r="C34" s="2" t="n">
        <f aca="false">COUNTIFS(Tests!$B:$B,$A34,Tests!$H:$H,"Pass")</f>
        <v>0</v>
      </c>
      <c r="D34" s="2" t="n">
        <f aca="false">COUNTIFS(Tests!$B:$B,$A34,Tests!$H:$H,"Fail")</f>
        <v>0</v>
      </c>
      <c r="E34" s="2" t="n">
        <f aca="false">COUNTIFS(Tests!$B:$B,$A34,Tests!$H:$H,"Blocked")</f>
        <v>0</v>
      </c>
      <c r="F34" s="2" t="n">
        <f aca="false">COUNTIFS(Tests!$B:$B,$A34,Tests!$H:$H,"N/A")</f>
        <v>0</v>
      </c>
      <c r="G34" s="2" t="n">
        <f aca="false">COUNTIFS(Tests!$B:$B,$A34,Tests!$H:$H,"Not run")</f>
        <v>8</v>
      </c>
      <c r="H34" s="3" t="n">
        <f aca="false">IF(B34=0,0,(B34-G34)/B34)</f>
        <v>0</v>
      </c>
    </row>
    <row r="35" customFormat="false" ht="15" hidden="false" customHeight="false" outlineLevel="0" collapsed="false">
      <c r="A35" s="2" t="s">
        <v>41</v>
      </c>
      <c r="B35" s="2" t="n">
        <f aca="false">COUNTIF(Tests!$B:$B,$A35)</f>
        <v>9</v>
      </c>
      <c r="C35" s="2" t="n">
        <f aca="false">COUNTIFS(Tests!$B:$B,$A35,Tests!$H:$H,"Pass")</f>
        <v>0</v>
      </c>
      <c r="D35" s="2" t="n">
        <f aca="false">COUNTIFS(Tests!$B:$B,$A35,Tests!$H:$H,"Fail")</f>
        <v>0</v>
      </c>
      <c r="E35" s="2" t="n">
        <f aca="false">COUNTIFS(Tests!$B:$B,$A35,Tests!$H:$H,"Blocked")</f>
        <v>0</v>
      </c>
      <c r="F35" s="2" t="n">
        <f aca="false">COUNTIFS(Tests!$B:$B,$A35,Tests!$H:$H,"N/A")</f>
        <v>0</v>
      </c>
      <c r="G35" s="2" t="n">
        <f aca="false">COUNTIFS(Tests!$B:$B,$A35,Tests!$H:$H,"Not run")</f>
        <v>9</v>
      </c>
      <c r="H35" s="3" t="n">
        <f aca="false">IF(B35=0,0,(B35-G35)/B35)</f>
        <v>0</v>
      </c>
    </row>
    <row r="36" customFormat="false" ht="15" hidden="false" customHeight="false" outlineLevel="0" collapsed="false">
      <c r="A36" s="2" t="s">
        <v>42</v>
      </c>
      <c r="B36" s="2" t="n">
        <f aca="false">COUNTIF(Tests!$B:$B,$A36)</f>
        <v>8</v>
      </c>
      <c r="C36" s="2" t="n">
        <f aca="false">COUNTIFS(Tests!$B:$B,$A36,Tests!$H:$H,"Pass")</f>
        <v>0</v>
      </c>
      <c r="D36" s="2" t="n">
        <f aca="false">COUNTIFS(Tests!$B:$B,$A36,Tests!$H:$H,"Fail")</f>
        <v>0</v>
      </c>
      <c r="E36" s="2" t="n">
        <f aca="false">COUNTIFS(Tests!$B:$B,$A36,Tests!$H:$H,"Blocked")</f>
        <v>0</v>
      </c>
      <c r="F36" s="2" t="n">
        <f aca="false">COUNTIFS(Tests!$B:$B,$A36,Tests!$H:$H,"N/A")</f>
        <v>0</v>
      </c>
      <c r="G36" s="2" t="n">
        <f aca="false">COUNTIFS(Tests!$B:$B,$A36,Tests!$H:$H,"Not run")</f>
        <v>8</v>
      </c>
      <c r="H36" s="3" t="n">
        <f aca="false">IF(B36=0,0,(B36-G36)/B36)</f>
        <v>0</v>
      </c>
    </row>
    <row r="37" customFormat="false" ht="15" hidden="false" customHeight="false" outlineLevel="0" collapsed="false">
      <c r="A37" s="4" t="s">
        <v>43</v>
      </c>
      <c r="B37" s="4" t="n">
        <f aca="false">SUM(B2:B36)</f>
        <v>469</v>
      </c>
      <c r="C37" s="4" t="n">
        <f aca="false">SUM(C2:C36)</f>
        <v>0</v>
      </c>
      <c r="D37" s="4" t="n">
        <f aca="false">SUM(D2:D36)</f>
        <v>0</v>
      </c>
      <c r="E37" s="4" t="n">
        <f aca="false">SUM(E2:E36)</f>
        <v>0</v>
      </c>
      <c r="F37" s="4" t="n">
        <f aca="false">SUM(F2:F36)</f>
        <v>0</v>
      </c>
      <c r="G37" s="4" t="n">
        <f aca="false">SUM(G2:G36)</f>
        <v>469</v>
      </c>
      <c r="H37" s="5" t="n">
        <f aca="false">IF(B37=0,0,(B37-G37)/B37)</f>
        <v>0</v>
      </c>
    </row>
    <row r="38" customFormat="false" ht="15" hidden="false" customHeight="false" outlineLevel="0" collapsed="false">
      <c r="A38" s="4" t="s">
        <v>44</v>
      </c>
      <c r="B38" s="4" t="n">
        <f aca="false">COUNTA('Role Access'!G2:K29)</f>
        <v>140</v>
      </c>
      <c r="C38" s="4" t="n">
        <f aca="false">COUNTIF('Role Access'!G2:K29,"Pass")</f>
        <v>0</v>
      </c>
      <c r="D38" s="4" t="n">
        <f aca="false">COUNTIF('Role Access'!G2:K29,"Fail")</f>
        <v>0</v>
      </c>
      <c r="E38" s="4" t="n">
        <f aca="false">COUNTIF('Role Access'!G2:K29,"Blocked")</f>
        <v>0</v>
      </c>
      <c r="F38" s="4" t="n">
        <f aca="false">COUNTIF('Role Access'!G2:K29,"N/A")</f>
        <v>0</v>
      </c>
      <c r="G38" s="4" t="n">
        <f aca="false">COUNTIF('Role Access'!G2:K29,"Not run")</f>
        <v>140</v>
      </c>
      <c r="H38" s="5" t="n">
        <f aca="false">IF(B38=0,0,(B38-G38)/B38)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6" t="s">
        <v>45</v>
      </c>
    </row>
    <row r="2" customFormat="false" ht="15" hidden="false" customHeight="false" outlineLevel="0" collapsed="false">
      <c r="A2" s="7" t="s">
        <v>46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6" t="s">
        <v>47</v>
      </c>
    </row>
    <row r="5" customFormat="false" ht="15" hidden="false" customHeight="false" outlineLevel="0" collapsed="false">
      <c r="A5" s="7" t="s">
        <v>48</v>
      </c>
    </row>
    <row r="6" customFormat="false" ht="28.35" hidden="false" customHeight="false" outlineLevel="0" collapsed="false">
      <c r="A6" s="7" t="s">
        <v>49</v>
      </c>
    </row>
    <row r="7" customFormat="false" ht="15" hidden="false" customHeight="false" outlineLevel="0" collapsed="false">
      <c r="A7" s="7" t="s">
        <v>50</v>
      </c>
    </row>
    <row r="8" customFormat="false" ht="15" hidden="false" customHeight="false" outlineLevel="0" collapsed="false">
      <c r="A8" s="7" t="s">
        <v>51</v>
      </c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6" t="s">
        <v>52</v>
      </c>
    </row>
    <row r="11" customFormat="false" ht="15" hidden="false" customHeight="false" outlineLevel="0" collapsed="false">
      <c r="A11" s="7" t="s">
        <v>53</v>
      </c>
    </row>
    <row r="12" customFormat="false" ht="15" hidden="false" customHeight="false" outlineLevel="0" collapsed="false">
      <c r="A12" s="7" t="s">
        <v>54</v>
      </c>
    </row>
    <row r="13" customFormat="false" ht="15" hidden="false" customHeight="false" outlineLevel="0" collapsed="false">
      <c r="A13" s="7" t="s">
        <v>55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6" t="s">
        <v>56</v>
      </c>
    </row>
    <row r="16" customFormat="false" ht="15" hidden="false" customHeight="false" outlineLevel="0" collapsed="false">
      <c r="A16" s="7" t="s">
        <v>57</v>
      </c>
    </row>
    <row r="17" customFormat="false" ht="28.35" hidden="false" customHeight="false" outlineLevel="0" collapsed="false">
      <c r="A17" s="7" t="s">
        <v>58</v>
      </c>
    </row>
    <row r="18" customFormat="false" ht="15" hidden="false" customHeight="false" outlineLevel="0" collapsed="false">
      <c r="A18" s="7" t="s">
        <v>59</v>
      </c>
    </row>
    <row r="19" customFormat="false" ht="15" hidden="false" customHeight="false" outlineLevel="0" collapsed="false">
      <c r="A19" s="7" t="s">
        <v>60</v>
      </c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6" t="s">
        <v>61</v>
      </c>
    </row>
    <row r="22" customFormat="false" ht="15" hidden="false" customHeight="false" outlineLevel="0" collapsed="false">
      <c r="A22" s="7" t="s">
        <v>62</v>
      </c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6" t="s">
        <v>63</v>
      </c>
    </row>
    <row r="25" customFormat="false" ht="15" hidden="false" customHeight="false" outlineLevel="0" collapsed="false">
      <c r="A25" s="7" t="s">
        <v>64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5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66</v>
      </c>
      <c r="B1" s="1" t="s">
        <v>0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customFormat="false" ht="15" hidden="false" customHeight="false" outlineLevel="0" collapsed="false">
      <c r="A2" s="8" t="s">
        <v>76</v>
      </c>
      <c r="B2" s="8" t="s">
        <v>8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6</v>
      </c>
      <c r="I2" s="8"/>
      <c r="J2" s="9"/>
      <c r="K2" s="8"/>
    </row>
    <row r="3" customFormat="false" ht="15" hidden="false" customHeight="false" outlineLevel="0" collapsed="false">
      <c r="A3" s="8" t="s">
        <v>82</v>
      </c>
      <c r="B3" s="8" t="s">
        <v>8</v>
      </c>
      <c r="C3" s="8" t="s">
        <v>77</v>
      </c>
      <c r="D3" s="8" t="s">
        <v>78</v>
      </c>
      <c r="E3" s="8" t="s">
        <v>83</v>
      </c>
      <c r="F3" s="8" t="s">
        <v>84</v>
      </c>
      <c r="G3" s="8"/>
      <c r="H3" s="8" t="s">
        <v>6</v>
      </c>
      <c r="I3" s="8"/>
      <c r="J3" s="9"/>
      <c r="K3" s="8"/>
    </row>
    <row r="4" customFormat="false" ht="28.35" hidden="false" customHeight="false" outlineLevel="0" collapsed="false">
      <c r="A4" s="8" t="s">
        <v>85</v>
      </c>
      <c r="B4" s="8" t="s">
        <v>8</v>
      </c>
      <c r="C4" s="8" t="s">
        <v>86</v>
      </c>
      <c r="D4" s="8" t="s">
        <v>78</v>
      </c>
      <c r="E4" s="8" t="s">
        <v>87</v>
      </c>
      <c r="F4" s="8" t="s">
        <v>88</v>
      </c>
      <c r="G4" s="8"/>
      <c r="H4" s="8" t="s">
        <v>6</v>
      </c>
      <c r="I4" s="8"/>
      <c r="J4" s="9"/>
      <c r="K4" s="8"/>
    </row>
    <row r="5" customFormat="false" ht="15" hidden="false" customHeight="false" outlineLevel="0" collapsed="false">
      <c r="A5" s="8" t="s">
        <v>89</v>
      </c>
      <c r="B5" s="8" t="s">
        <v>8</v>
      </c>
      <c r="C5" s="8" t="s">
        <v>86</v>
      </c>
      <c r="D5" s="8" t="s">
        <v>78</v>
      </c>
      <c r="E5" s="8" t="s">
        <v>90</v>
      </c>
      <c r="F5" s="8" t="s">
        <v>91</v>
      </c>
      <c r="G5" s="8"/>
      <c r="H5" s="8" t="s">
        <v>6</v>
      </c>
      <c r="I5" s="8"/>
      <c r="J5" s="9"/>
      <c r="K5" s="8"/>
    </row>
    <row r="6" customFormat="false" ht="28.35" hidden="false" customHeight="false" outlineLevel="0" collapsed="false">
      <c r="A6" s="8" t="s">
        <v>92</v>
      </c>
      <c r="B6" s="8" t="s">
        <v>8</v>
      </c>
      <c r="C6" s="8" t="s">
        <v>93</v>
      </c>
      <c r="D6" s="8" t="s">
        <v>94</v>
      </c>
      <c r="E6" s="8" t="s">
        <v>95</v>
      </c>
      <c r="F6" s="8" t="s">
        <v>96</v>
      </c>
      <c r="G6" s="8" t="s">
        <v>97</v>
      </c>
      <c r="H6" s="8" t="s">
        <v>6</v>
      </c>
      <c r="I6" s="8"/>
      <c r="J6" s="9"/>
      <c r="K6" s="8"/>
    </row>
    <row r="7" customFormat="false" ht="28.35" hidden="false" customHeight="false" outlineLevel="0" collapsed="false">
      <c r="A7" s="8" t="s">
        <v>98</v>
      </c>
      <c r="B7" s="8" t="s">
        <v>8</v>
      </c>
      <c r="C7" s="8" t="s">
        <v>93</v>
      </c>
      <c r="D7" s="8" t="s">
        <v>94</v>
      </c>
      <c r="E7" s="8" t="s">
        <v>99</v>
      </c>
      <c r="F7" s="8" t="s">
        <v>100</v>
      </c>
      <c r="G7" s="8"/>
      <c r="H7" s="8" t="s">
        <v>6</v>
      </c>
      <c r="I7" s="8"/>
      <c r="J7" s="9"/>
      <c r="K7" s="8"/>
    </row>
    <row r="8" customFormat="false" ht="28.35" hidden="false" customHeight="false" outlineLevel="0" collapsed="false">
      <c r="A8" s="8" t="s">
        <v>101</v>
      </c>
      <c r="B8" s="8" t="s">
        <v>8</v>
      </c>
      <c r="C8" s="8" t="s">
        <v>102</v>
      </c>
      <c r="D8" s="8" t="s">
        <v>94</v>
      </c>
      <c r="E8" s="8" t="s">
        <v>103</v>
      </c>
      <c r="F8" s="8" t="s">
        <v>104</v>
      </c>
      <c r="G8" s="8" t="s">
        <v>105</v>
      </c>
      <c r="H8" s="8" t="s">
        <v>6</v>
      </c>
      <c r="I8" s="8"/>
      <c r="J8" s="9"/>
      <c r="K8" s="8"/>
    </row>
    <row r="9" customFormat="false" ht="15" hidden="false" customHeight="false" outlineLevel="0" collapsed="false">
      <c r="A9" s="8" t="s">
        <v>106</v>
      </c>
      <c r="B9" s="8" t="s">
        <v>8</v>
      </c>
      <c r="C9" s="8" t="s">
        <v>107</v>
      </c>
      <c r="D9" s="8" t="s">
        <v>78</v>
      </c>
      <c r="E9" s="8" t="s">
        <v>108</v>
      </c>
      <c r="F9" s="8" t="s">
        <v>109</v>
      </c>
      <c r="G9" s="8" t="s">
        <v>110</v>
      </c>
      <c r="H9" s="8" t="s">
        <v>6</v>
      </c>
      <c r="I9" s="8"/>
      <c r="J9" s="9"/>
      <c r="K9" s="8"/>
    </row>
    <row r="10" customFormat="false" ht="15" hidden="false" customHeight="false" outlineLevel="0" collapsed="false">
      <c r="A10" s="8" t="s">
        <v>111</v>
      </c>
      <c r="B10" s="8" t="s">
        <v>8</v>
      </c>
      <c r="C10" s="8" t="s">
        <v>112</v>
      </c>
      <c r="D10" s="8" t="s">
        <v>78</v>
      </c>
      <c r="E10" s="8" t="s">
        <v>113</v>
      </c>
      <c r="F10" s="8" t="s">
        <v>114</v>
      </c>
      <c r="G10" s="8"/>
      <c r="H10" s="8" t="s">
        <v>6</v>
      </c>
      <c r="I10" s="8"/>
      <c r="J10" s="9"/>
      <c r="K10" s="8"/>
    </row>
    <row r="11" customFormat="false" ht="15" hidden="false" customHeight="false" outlineLevel="0" collapsed="false">
      <c r="A11" s="8" t="s">
        <v>115</v>
      </c>
      <c r="B11" s="8" t="s">
        <v>9</v>
      </c>
      <c r="C11" s="8" t="s">
        <v>116</v>
      </c>
      <c r="D11" s="8" t="s">
        <v>78</v>
      </c>
      <c r="E11" s="8" t="s">
        <v>117</v>
      </c>
      <c r="F11" s="8" t="s">
        <v>118</v>
      </c>
      <c r="G11" s="8" t="s">
        <v>119</v>
      </c>
      <c r="H11" s="8" t="s">
        <v>6</v>
      </c>
      <c r="I11" s="8"/>
      <c r="J11" s="9"/>
      <c r="K11" s="8"/>
    </row>
    <row r="12" customFormat="false" ht="15" hidden="false" customHeight="false" outlineLevel="0" collapsed="false">
      <c r="A12" s="8" t="s">
        <v>120</v>
      </c>
      <c r="B12" s="8" t="s">
        <v>9</v>
      </c>
      <c r="C12" s="8" t="s">
        <v>116</v>
      </c>
      <c r="D12" s="8" t="s">
        <v>78</v>
      </c>
      <c r="E12" s="8" t="s">
        <v>121</v>
      </c>
      <c r="F12" s="8" t="s">
        <v>122</v>
      </c>
      <c r="G12" s="8" t="s">
        <v>119</v>
      </c>
      <c r="H12" s="8" t="s">
        <v>6</v>
      </c>
      <c r="I12" s="8"/>
      <c r="J12" s="9"/>
      <c r="K12" s="8"/>
    </row>
    <row r="13" customFormat="false" ht="28.35" hidden="false" customHeight="false" outlineLevel="0" collapsed="false">
      <c r="A13" s="8" t="s">
        <v>123</v>
      </c>
      <c r="B13" s="8" t="s">
        <v>9</v>
      </c>
      <c r="C13" s="8" t="s">
        <v>116</v>
      </c>
      <c r="D13" s="8" t="s">
        <v>78</v>
      </c>
      <c r="E13" s="8" t="s">
        <v>124</v>
      </c>
      <c r="F13" s="8" t="s">
        <v>125</v>
      </c>
      <c r="G13" s="8" t="s">
        <v>119</v>
      </c>
      <c r="H13" s="8" t="s">
        <v>6</v>
      </c>
      <c r="I13" s="8"/>
      <c r="J13" s="9"/>
      <c r="K13" s="8"/>
    </row>
    <row r="14" customFormat="false" ht="15" hidden="false" customHeight="false" outlineLevel="0" collapsed="false">
      <c r="A14" s="8" t="s">
        <v>126</v>
      </c>
      <c r="B14" s="8" t="s">
        <v>9</v>
      </c>
      <c r="C14" s="8" t="s">
        <v>116</v>
      </c>
      <c r="D14" s="8" t="s">
        <v>78</v>
      </c>
      <c r="E14" s="8" t="s">
        <v>127</v>
      </c>
      <c r="F14" s="8" t="s">
        <v>128</v>
      </c>
      <c r="G14" s="8" t="s">
        <v>119</v>
      </c>
      <c r="H14" s="8" t="s">
        <v>6</v>
      </c>
      <c r="I14" s="8"/>
      <c r="J14" s="9"/>
      <c r="K14" s="8"/>
    </row>
    <row r="15" customFormat="false" ht="15" hidden="false" customHeight="false" outlineLevel="0" collapsed="false">
      <c r="A15" s="8" t="s">
        <v>129</v>
      </c>
      <c r="B15" s="8" t="s">
        <v>9</v>
      </c>
      <c r="C15" s="8" t="s">
        <v>116</v>
      </c>
      <c r="D15" s="8" t="s">
        <v>78</v>
      </c>
      <c r="E15" s="8" t="s">
        <v>130</v>
      </c>
      <c r="F15" s="8" t="s">
        <v>131</v>
      </c>
      <c r="G15" s="8" t="s">
        <v>119</v>
      </c>
      <c r="H15" s="8" t="s">
        <v>6</v>
      </c>
      <c r="I15" s="8"/>
      <c r="J15" s="9"/>
      <c r="K15" s="8"/>
    </row>
    <row r="16" customFormat="false" ht="28.35" hidden="false" customHeight="false" outlineLevel="0" collapsed="false">
      <c r="A16" s="8" t="s">
        <v>132</v>
      </c>
      <c r="B16" s="8" t="s">
        <v>9</v>
      </c>
      <c r="C16" s="8" t="s">
        <v>116</v>
      </c>
      <c r="D16" s="8" t="s">
        <v>78</v>
      </c>
      <c r="E16" s="8" t="s">
        <v>133</v>
      </c>
      <c r="F16" s="8" t="s">
        <v>134</v>
      </c>
      <c r="G16" s="8" t="s">
        <v>119</v>
      </c>
      <c r="H16" s="8" t="s">
        <v>6</v>
      </c>
      <c r="I16" s="8"/>
      <c r="J16" s="9"/>
      <c r="K16" s="8"/>
    </row>
    <row r="17" customFormat="false" ht="15" hidden="false" customHeight="false" outlineLevel="0" collapsed="false">
      <c r="A17" s="8" t="s">
        <v>135</v>
      </c>
      <c r="B17" s="8" t="s">
        <v>9</v>
      </c>
      <c r="C17" s="8" t="s">
        <v>116</v>
      </c>
      <c r="D17" s="8" t="s">
        <v>78</v>
      </c>
      <c r="E17" s="8" t="s">
        <v>136</v>
      </c>
      <c r="F17" s="8" t="s">
        <v>137</v>
      </c>
      <c r="G17" s="8" t="s">
        <v>119</v>
      </c>
      <c r="H17" s="8" t="s">
        <v>6</v>
      </c>
      <c r="I17" s="8"/>
      <c r="J17" s="9"/>
      <c r="K17" s="8"/>
    </row>
    <row r="18" customFormat="false" ht="15" hidden="false" customHeight="false" outlineLevel="0" collapsed="false">
      <c r="A18" s="8" t="s">
        <v>138</v>
      </c>
      <c r="B18" s="8" t="s">
        <v>9</v>
      </c>
      <c r="C18" s="8" t="s">
        <v>116</v>
      </c>
      <c r="D18" s="8" t="s">
        <v>78</v>
      </c>
      <c r="E18" s="8" t="s">
        <v>139</v>
      </c>
      <c r="F18" s="8" t="s">
        <v>140</v>
      </c>
      <c r="G18" s="8" t="s">
        <v>119</v>
      </c>
      <c r="H18" s="8" t="s">
        <v>6</v>
      </c>
      <c r="I18" s="8"/>
      <c r="J18" s="9"/>
      <c r="K18" s="8"/>
    </row>
    <row r="19" customFormat="false" ht="15" hidden="false" customHeight="false" outlineLevel="0" collapsed="false">
      <c r="A19" s="8" t="s">
        <v>141</v>
      </c>
      <c r="B19" s="8" t="s">
        <v>9</v>
      </c>
      <c r="C19" s="8" t="s">
        <v>116</v>
      </c>
      <c r="D19" s="8" t="s">
        <v>78</v>
      </c>
      <c r="E19" s="8" t="s">
        <v>142</v>
      </c>
      <c r="F19" s="8" t="s">
        <v>143</v>
      </c>
      <c r="G19" s="8" t="s">
        <v>119</v>
      </c>
      <c r="H19" s="8" t="s">
        <v>6</v>
      </c>
      <c r="I19" s="8"/>
      <c r="J19" s="9"/>
      <c r="K19" s="8"/>
    </row>
    <row r="20" customFormat="false" ht="15" hidden="false" customHeight="false" outlineLevel="0" collapsed="false">
      <c r="A20" s="8" t="s">
        <v>144</v>
      </c>
      <c r="B20" s="8" t="s">
        <v>9</v>
      </c>
      <c r="C20" s="8" t="s">
        <v>116</v>
      </c>
      <c r="D20" s="8" t="s">
        <v>78</v>
      </c>
      <c r="E20" s="8" t="s">
        <v>145</v>
      </c>
      <c r="F20" s="8" t="s">
        <v>146</v>
      </c>
      <c r="G20" s="8"/>
      <c r="H20" s="8" t="s">
        <v>6</v>
      </c>
      <c r="I20" s="8"/>
      <c r="J20" s="9"/>
      <c r="K20" s="8"/>
    </row>
    <row r="21" customFormat="false" ht="15" hidden="false" customHeight="false" outlineLevel="0" collapsed="false">
      <c r="A21" s="8" t="s">
        <v>147</v>
      </c>
      <c r="B21" s="8" t="s">
        <v>9</v>
      </c>
      <c r="C21" s="8" t="s">
        <v>116</v>
      </c>
      <c r="D21" s="8" t="s">
        <v>78</v>
      </c>
      <c r="E21" s="8" t="s">
        <v>148</v>
      </c>
      <c r="F21" s="8" t="s">
        <v>149</v>
      </c>
      <c r="G21" s="8" t="s">
        <v>150</v>
      </c>
      <c r="H21" s="8" t="s">
        <v>6</v>
      </c>
      <c r="I21" s="8"/>
      <c r="J21" s="9"/>
      <c r="K21" s="8"/>
    </row>
    <row r="22" customFormat="false" ht="28.35" hidden="false" customHeight="false" outlineLevel="0" collapsed="false">
      <c r="A22" s="8" t="s">
        <v>151</v>
      </c>
      <c r="B22" s="8" t="s">
        <v>9</v>
      </c>
      <c r="C22" s="8" t="s">
        <v>116</v>
      </c>
      <c r="D22" s="8" t="s">
        <v>78</v>
      </c>
      <c r="E22" s="8" t="s">
        <v>152</v>
      </c>
      <c r="F22" s="8" t="s">
        <v>153</v>
      </c>
      <c r="G22" s="8" t="s">
        <v>150</v>
      </c>
      <c r="H22" s="8" t="s">
        <v>6</v>
      </c>
      <c r="I22" s="8"/>
      <c r="J22" s="9"/>
      <c r="K22" s="8"/>
    </row>
    <row r="23" customFormat="false" ht="15" hidden="false" customHeight="false" outlineLevel="0" collapsed="false">
      <c r="A23" s="8" t="s">
        <v>154</v>
      </c>
      <c r="B23" s="8" t="s">
        <v>9</v>
      </c>
      <c r="C23" s="8" t="s">
        <v>116</v>
      </c>
      <c r="D23" s="8" t="s">
        <v>78</v>
      </c>
      <c r="E23" s="8" t="s">
        <v>155</v>
      </c>
      <c r="F23" s="8" t="s">
        <v>156</v>
      </c>
      <c r="G23" s="8" t="s">
        <v>157</v>
      </c>
      <c r="H23" s="8" t="s">
        <v>6</v>
      </c>
      <c r="I23" s="8"/>
      <c r="J23" s="9"/>
      <c r="K23" s="8"/>
    </row>
    <row r="24" customFormat="false" ht="15" hidden="false" customHeight="false" outlineLevel="0" collapsed="false">
      <c r="A24" s="8" t="s">
        <v>158</v>
      </c>
      <c r="B24" s="8" t="s">
        <v>9</v>
      </c>
      <c r="C24" s="8" t="s">
        <v>116</v>
      </c>
      <c r="D24" s="8" t="s">
        <v>78</v>
      </c>
      <c r="E24" s="8" t="s">
        <v>159</v>
      </c>
      <c r="F24" s="8" t="s">
        <v>160</v>
      </c>
      <c r="G24" s="8" t="s">
        <v>119</v>
      </c>
      <c r="H24" s="8" t="s">
        <v>6</v>
      </c>
      <c r="I24" s="8"/>
      <c r="J24" s="9"/>
      <c r="K24" s="8"/>
    </row>
    <row r="25" customFormat="false" ht="15" hidden="false" customHeight="false" outlineLevel="0" collapsed="false">
      <c r="A25" s="8" t="s">
        <v>161</v>
      </c>
      <c r="B25" s="8" t="s">
        <v>9</v>
      </c>
      <c r="C25" s="8" t="s">
        <v>116</v>
      </c>
      <c r="D25" s="8" t="s">
        <v>78</v>
      </c>
      <c r="E25" s="8" t="s">
        <v>162</v>
      </c>
      <c r="F25" s="8" t="s">
        <v>163</v>
      </c>
      <c r="G25" s="8" t="s">
        <v>164</v>
      </c>
      <c r="H25" s="8" t="s">
        <v>6</v>
      </c>
      <c r="I25" s="8"/>
      <c r="J25" s="9"/>
      <c r="K25" s="8"/>
    </row>
    <row r="26" customFormat="false" ht="15" hidden="false" customHeight="false" outlineLevel="0" collapsed="false">
      <c r="A26" s="8" t="s">
        <v>165</v>
      </c>
      <c r="B26" s="8" t="s">
        <v>9</v>
      </c>
      <c r="C26" s="8" t="s">
        <v>166</v>
      </c>
      <c r="D26" s="8" t="s">
        <v>167</v>
      </c>
      <c r="E26" s="8" t="s">
        <v>168</v>
      </c>
      <c r="F26" s="8" t="s">
        <v>169</v>
      </c>
      <c r="G26" s="8" t="s">
        <v>164</v>
      </c>
      <c r="H26" s="8" t="s">
        <v>6</v>
      </c>
      <c r="I26" s="8"/>
      <c r="J26" s="9"/>
      <c r="K26" s="8"/>
    </row>
    <row r="27" customFormat="false" ht="28.35" hidden="false" customHeight="false" outlineLevel="0" collapsed="false">
      <c r="A27" s="8" t="s">
        <v>170</v>
      </c>
      <c r="B27" s="8" t="s">
        <v>9</v>
      </c>
      <c r="C27" s="8" t="s">
        <v>166</v>
      </c>
      <c r="D27" s="8" t="s">
        <v>167</v>
      </c>
      <c r="E27" s="8" t="s">
        <v>171</v>
      </c>
      <c r="F27" s="8" t="s">
        <v>172</v>
      </c>
      <c r="G27" s="8" t="s">
        <v>164</v>
      </c>
      <c r="H27" s="8" t="s">
        <v>6</v>
      </c>
      <c r="I27" s="8"/>
      <c r="J27" s="9"/>
      <c r="K27" s="8"/>
    </row>
    <row r="28" customFormat="false" ht="15" hidden="false" customHeight="false" outlineLevel="0" collapsed="false">
      <c r="A28" s="8" t="s">
        <v>173</v>
      </c>
      <c r="B28" s="8" t="s">
        <v>9</v>
      </c>
      <c r="C28" s="8" t="s">
        <v>166</v>
      </c>
      <c r="D28" s="8" t="s">
        <v>167</v>
      </c>
      <c r="E28" s="8" t="s">
        <v>174</v>
      </c>
      <c r="F28" s="8" t="s">
        <v>175</v>
      </c>
      <c r="G28" s="8"/>
      <c r="H28" s="8" t="s">
        <v>6</v>
      </c>
      <c r="I28" s="8"/>
      <c r="J28" s="9"/>
      <c r="K28" s="8"/>
    </row>
    <row r="29" customFormat="false" ht="15" hidden="false" customHeight="false" outlineLevel="0" collapsed="false">
      <c r="A29" s="8" t="s">
        <v>176</v>
      </c>
      <c r="B29" s="8" t="s">
        <v>9</v>
      </c>
      <c r="C29" s="8" t="s">
        <v>166</v>
      </c>
      <c r="D29" s="8" t="s">
        <v>167</v>
      </c>
      <c r="E29" s="8" t="s">
        <v>177</v>
      </c>
      <c r="F29" s="8" t="s">
        <v>178</v>
      </c>
      <c r="G29" s="8" t="s">
        <v>164</v>
      </c>
      <c r="H29" s="8" t="s">
        <v>6</v>
      </c>
      <c r="I29" s="8"/>
      <c r="J29" s="9"/>
      <c r="K29" s="8"/>
    </row>
    <row r="30" customFormat="false" ht="15" hidden="false" customHeight="false" outlineLevel="0" collapsed="false">
      <c r="A30" s="8" t="s">
        <v>179</v>
      </c>
      <c r="B30" s="8" t="s">
        <v>9</v>
      </c>
      <c r="C30" s="8" t="s">
        <v>180</v>
      </c>
      <c r="D30" s="8" t="s">
        <v>167</v>
      </c>
      <c r="E30" s="8" t="s">
        <v>181</v>
      </c>
      <c r="F30" s="8" t="s">
        <v>182</v>
      </c>
      <c r="G30" s="8" t="s">
        <v>164</v>
      </c>
      <c r="H30" s="8" t="s">
        <v>6</v>
      </c>
      <c r="I30" s="8"/>
      <c r="J30" s="9"/>
      <c r="K30" s="8"/>
    </row>
    <row r="31" customFormat="false" ht="15" hidden="false" customHeight="false" outlineLevel="0" collapsed="false">
      <c r="A31" s="8" t="s">
        <v>183</v>
      </c>
      <c r="B31" s="8" t="s">
        <v>10</v>
      </c>
      <c r="C31" s="8" t="s">
        <v>180</v>
      </c>
      <c r="D31" s="8" t="s">
        <v>167</v>
      </c>
      <c r="E31" s="8" t="s">
        <v>184</v>
      </c>
      <c r="F31" s="8" t="s">
        <v>185</v>
      </c>
      <c r="G31" s="8" t="s">
        <v>186</v>
      </c>
      <c r="H31" s="8" t="s">
        <v>6</v>
      </c>
      <c r="I31" s="8"/>
      <c r="J31" s="9"/>
      <c r="K31" s="8"/>
    </row>
    <row r="32" customFormat="false" ht="15" hidden="false" customHeight="false" outlineLevel="0" collapsed="false">
      <c r="A32" s="8" t="s">
        <v>187</v>
      </c>
      <c r="B32" s="8" t="s">
        <v>10</v>
      </c>
      <c r="C32" s="8" t="s">
        <v>180</v>
      </c>
      <c r="D32" s="8" t="s">
        <v>188</v>
      </c>
      <c r="E32" s="8" t="s">
        <v>189</v>
      </c>
      <c r="F32" s="8" t="s">
        <v>190</v>
      </c>
      <c r="G32" s="8" t="s">
        <v>191</v>
      </c>
      <c r="H32" s="8" t="s">
        <v>6</v>
      </c>
      <c r="I32" s="8"/>
      <c r="J32" s="9"/>
      <c r="K32" s="8"/>
    </row>
    <row r="33" customFormat="false" ht="15" hidden="false" customHeight="false" outlineLevel="0" collapsed="false">
      <c r="A33" s="8" t="s">
        <v>192</v>
      </c>
      <c r="B33" s="8" t="s">
        <v>10</v>
      </c>
      <c r="C33" s="8" t="s">
        <v>180</v>
      </c>
      <c r="D33" s="8" t="s">
        <v>193</v>
      </c>
      <c r="E33" s="8" t="s">
        <v>194</v>
      </c>
      <c r="F33" s="8" t="s">
        <v>195</v>
      </c>
      <c r="G33" s="8" t="s">
        <v>186</v>
      </c>
      <c r="H33" s="8" t="s">
        <v>6</v>
      </c>
      <c r="I33" s="8"/>
      <c r="J33" s="9"/>
      <c r="K33" s="8"/>
    </row>
    <row r="34" customFormat="false" ht="28.35" hidden="false" customHeight="false" outlineLevel="0" collapsed="false">
      <c r="A34" s="8" t="s">
        <v>196</v>
      </c>
      <c r="B34" s="8" t="s">
        <v>10</v>
      </c>
      <c r="C34" s="8" t="s">
        <v>180</v>
      </c>
      <c r="D34" s="8" t="s">
        <v>94</v>
      </c>
      <c r="E34" s="8" t="s">
        <v>197</v>
      </c>
      <c r="F34" s="8" t="s">
        <v>195</v>
      </c>
      <c r="G34" s="8" t="s">
        <v>186</v>
      </c>
      <c r="H34" s="8" t="s">
        <v>6</v>
      </c>
      <c r="I34" s="8"/>
      <c r="J34" s="9"/>
      <c r="K34" s="8"/>
    </row>
    <row r="35" customFormat="false" ht="15" hidden="false" customHeight="false" outlineLevel="0" collapsed="false">
      <c r="A35" s="8" t="s">
        <v>198</v>
      </c>
      <c r="B35" s="8" t="s">
        <v>10</v>
      </c>
      <c r="C35" s="8" t="s">
        <v>180</v>
      </c>
      <c r="D35" s="8" t="s">
        <v>78</v>
      </c>
      <c r="E35" s="8" t="s">
        <v>199</v>
      </c>
      <c r="F35" s="8" t="s">
        <v>200</v>
      </c>
      <c r="G35" s="8"/>
      <c r="H35" s="8" t="s">
        <v>6</v>
      </c>
      <c r="I35" s="8"/>
      <c r="J35" s="9"/>
      <c r="K35" s="8"/>
    </row>
    <row r="36" customFormat="false" ht="15" hidden="false" customHeight="false" outlineLevel="0" collapsed="false">
      <c r="A36" s="8" t="s">
        <v>201</v>
      </c>
      <c r="B36" s="8" t="s">
        <v>10</v>
      </c>
      <c r="C36" s="8" t="s">
        <v>180</v>
      </c>
      <c r="D36" s="8" t="s">
        <v>78</v>
      </c>
      <c r="E36" s="8" t="s">
        <v>202</v>
      </c>
      <c r="F36" s="8" t="s">
        <v>203</v>
      </c>
      <c r="G36" s="8" t="s">
        <v>204</v>
      </c>
      <c r="H36" s="8" t="s">
        <v>6</v>
      </c>
      <c r="I36" s="8"/>
      <c r="J36" s="9"/>
      <c r="K36" s="8"/>
    </row>
    <row r="37" customFormat="false" ht="15" hidden="false" customHeight="false" outlineLevel="0" collapsed="false">
      <c r="A37" s="8" t="s">
        <v>205</v>
      </c>
      <c r="B37" s="8" t="s">
        <v>10</v>
      </c>
      <c r="C37" s="8" t="s">
        <v>180</v>
      </c>
      <c r="D37" s="8" t="s">
        <v>78</v>
      </c>
      <c r="E37" s="8" t="s">
        <v>206</v>
      </c>
      <c r="F37" s="8" t="s">
        <v>207</v>
      </c>
      <c r="G37" s="8" t="s">
        <v>204</v>
      </c>
      <c r="H37" s="8" t="s">
        <v>6</v>
      </c>
      <c r="I37" s="8"/>
      <c r="J37" s="9"/>
      <c r="K37" s="8"/>
    </row>
    <row r="38" customFormat="false" ht="15" hidden="false" customHeight="false" outlineLevel="0" collapsed="false">
      <c r="A38" s="8" t="s">
        <v>208</v>
      </c>
      <c r="B38" s="8" t="s">
        <v>10</v>
      </c>
      <c r="C38" s="8" t="s">
        <v>180</v>
      </c>
      <c r="D38" s="8" t="s">
        <v>78</v>
      </c>
      <c r="E38" s="8" t="s">
        <v>209</v>
      </c>
      <c r="F38" s="8" t="s">
        <v>210</v>
      </c>
      <c r="G38" s="8" t="s">
        <v>204</v>
      </c>
      <c r="H38" s="8" t="s">
        <v>6</v>
      </c>
      <c r="I38" s="8"/>
      <c r="J38" s="9"/>
      <c r="K38" s="8"/>
    </row>
    <row r="39" customFormat="false" ht="28.35" hidden="false" customHeight="false" outlineLevel="0" collapsed="false">
      <c r="A39" s="8" t="s">
        <v>211</v>
      </c>
      <c r="B39" s="8" t="s">
        <v>10</v>
      </c>
      <c r="C39" s="8" t="s">
        <v>180</v>
      </c>
      <c r="D39" s="8" t="s">
        <v>94</v>
      </c>
      <c r="E39" s="8" t="s">
        <v>212</v>
      </c>
      <c r="F39" s="8" t="s">
        <v>213</v>
      </c>
      <c r="G39" s="8" t="s">
        <v>214</v>
      </c>
      <c r="H39" s="8" t="s">
        <v>6</v>
      </c>
      <c r="I39" s="8"/>
      <c r="J39" s="9"/>
      <c r="K39" s="8"/>
    </row>
    <row r="40" customFormat="false" ht="15" hidden="false" customHeight="false" outlineLevel="0" collapsed="false">
      <c r="A40" s="8" t="s">
        <v>215</v>
      </c>
      <c r="B40" s="8" t="s">
        <v>10</v>
      </c>
      <c r="C40" s="8" t="s">
        <v>180</v>
      </c>
      <c r="D40" s="8" t="s">
        <v>78</v>
      </c>
      <c r="E40" s="8" t="s">
        <v>216</v>
      </c>
      <c r="F40" s="8" t="s">
        <v>217</v>
      </c>
      <c r="G40" s="8" t="s">
        <v>157</v>
      </c>
      <c r="H40" s="8" t="s">
        <v>6</v>
      </c>
      <c r="I40" s="8"/>
      <c r="J40" s="9"/>
      <c r="K40" s="8"/>
    </row>
    <row r="41" customFormat="false" ht="15" hidden="false" customHeight="false" outlineLevel="0" collapsed="false">
      <c r="A41" s="8" t="s">
        <v>218</v>
      </c>
      <c r="B41" s="8" t="s">
        <v>10</v>
      </c>
      <c r="C41" s="8" t="s">
        <v>180</v>
      </c>
      <c r="D41" s="8" t="s">
        <v>78</v>
      </c>
      <c r="E41" s="8" t="s">
        <v>219</v>
      </c>
      <c r="F41" s="8" t="s">
        <v>220</v>
      </c>
      <c r="G41" s="8"/>
      <c r="H41" s="8" t="s">
        <v>6</v>
      </c>
      <c r="I41" s="8"/>
      <c r="J41" s="9"/>
      <c r="K41" s="8"/>
    </row>
    <row r="42" customFormat="false" ht="15" hidden="false" customHeight="false" outlineLevel="0" collapsed="false">
      <c r="A42" s="8" t="s">
        <v>221</v>
      </c>
      <c r="B42" s="8" t="s">
        <v>10</v>
      </c>
      <c r="C42" s="8" t="s">
        <v>180</v>
      </c>
      <c r="D42" s="8" t="s">
        <v>167</v>
      </c>
      <c r="E42" s="8" t="s">
        <v>222</v>
      </c>
      <c r="F42" s="8" t="s">
        <v>223</v>
      </c>
      <c r="G42" s="8" t="s">
        <v>105</v>
      </c>
      <c r="H42" s="8" t="s">
        <v>6</v>
      </c>
      <c r="I42" s="8"/>
      <c r="J42" s="9"/>
      <c r="K42" s="8"/>
    </row>
    <row r="43" customFormat="false" ht="15" hidden="false" customHeight="false" outlineLevel="0" collapsed="false">
      <c r="A43" s="8" t="s">
        <v>224</v>
      </c>
      <c r="B43" s="8" t="s">
        <v>10</v>
      </c>
      <c r="C43" s="8" t="s">
        <v>180</v>
      </c>
      <c r="D43" s="8" t="s">
        <v>167</v>
      </c>
      <c r="E43" s="8" t="s">
        <v>225</v>
      </c>
      <c r="F43" s="8" t="s">
        <v>226</v>
      </c>
      <c r="G43" s="8" t="s">
        <v>105</v>
      </c>
      <c r="H43" s="8" t="s">
        <v>6</v>
      </c>
      <c r="I43" s="8"/>
      <c r="J43" s="9"/>
      <c r="K43" s="8"/>
    </row>
    <row r="44" customFormat="false" ht="15" hidden="false" customHeight="false" outlineLevel="0" collapsed="false">
      <c r="A44" s="8" t="s">
        <v>227</v>
      </c>
      <c r="B44" s="8" t="s">
        <v>10</v>
      </c>
      <c r="C44" s="8" t="s">
        <v>180</v>
      </c>
      <c r="D44" s="8" t="s">
        <v>167</v>
      </c>
      <c r="E44" s="8" t="s">
        <v>228</v>
      </c>
      <c r="F44" s="8" t="s">
        <v>229</v>
      </c>
      <c r="G44" s="8" t="s">
        <v>105</v>
      </c>
      <c r="H44" s="8" t="s">
        <v>6</v>
      </c>
      <c r="I44" s="8"/>
      <c r="J44" s="9"/>
      <c r="K44" s="8"/>
    </row>
    <row r="45" customFormat="false" ht="15" hidden="false" customHeight="false" outlineLevel="0" collapsed="false">
      <c r="A45" s="8" t="s">
        <v>230</v>
      </c>
      <c r="B45" s="8" t="s">
        <v>10</v>
      </c>
      <c r="C45" s="8" t="s">
        <v>180</v>
      </c>
      <c r="D45" s="8" t="s">
        <v>167</v>
      </c>
      <c r="E45" s="8" t="s">
        <v>231</v>
      </c>
      <c r="F45" s="8" t="s">
        <v>232</v>
      </c>
      <c r="G45" s="8" t="s">
        <v>105</v>
      </c>
      <c r="H45" s="8" t="s">
        <v>6</v>
      </c>
      <c r="I45" s="8"/>
      <c r="J45" s="9"/>
      <c r="K45" s="8"/>
    </row>
    <row r="46" customFormat="false" ht="15" hidden="false" customHeight="false" outlineLevel="0" collapsed="false">
      <c r="A46" s="8" t="s">
        <v>233</v>
      </c>
      <c r="B46" s="8" t="s">
        <v>10</v>
      </c>
      <c r="C46" s="8" t="s">
        <v>180</v>
      </c>
      <c r="D46" s="8" t="s">
        <v>167</v>
      </c>
      <c r="E46" s="8" t="s">
        <v>234</v>
      </c>
      <c r="F46" s="8" t="s">
        <v>235</v>
      </c>
      <c r="G46" s="8"/>
      <c r="H46" s="8" t="s">
        <v>6</v>
      </c>
      <c r="I46" s="8"/>
      <c r="J46" s="9"/>
      <c r="K46" s="8"/>
    </row>
    <row r="47" customFormat="false" ht="28.35" hidden="false" customHeight="false" outlineLevel="0" collapsed="false">
      <c r="A47" s="8" t="s">
        <v>236</v>
      </c>
      <c r="B47" s="8" t="s">
        <v>10</v>
      </c>
      <c r="C47" s="8" t="s">
        <v>180</v>
      </c>
      <c r="D47" s="8" t="s">
        <v>193</v>
      </c>
      <c r="E47" s="8" t="s">
        <v>237</v>
      </c>
      <c r="F47" s="8" t="s">
        <v>238</v>
      </c>
      <c r="G47" s="8" t="s">
        <v>239</v>
      </c>
      <c r="H47" s="8" t="s">
        <v>6</v>
      </c>
      <c r="I47" s="8"/>
      <c r="J47" s="9"/>
      <c r="K47" s="8"/>
    </row>
    <row r="48" customFormat="false" ht="15" hidden="false" customHeight="false" outlineLevel="0" collapsed="false">
      <c r="A48" s="8" t="s">
        <v>240</v>
      </c>
      <c r="B48" s="8" t="s">
        <v>10</v>
      </c>
      <c r="C48" s="8" t="s">
        <v>180</v>
      </c>
      <c r="D48" s="8" t="s">
        <v>167</v>
      </c>
      <c r="E48" s="8" t="s">
        <v>241</v>
      </c>
      <c r="F48" s="8" t="s">
        <v>242</v>
      </c>
      <c r="G48" s="8" t="s">
        <v>243</v>
      </c>
      <c r="H48" s="8" t="s">
        <v>6</v>
      </c>
      <c r="I48" s="8"/>
      <c r="J48" s="9"/>
      <c r="K48" s="8"/>
    </row>
    <row r="49" customFormat="false" ht="15" hidden="false" customHeight="false" outlineLevel="0" collapsed="false">
      <c r="A49" s="8" t="s">
        <v>244</v>
      </c>
      <c r="B49" s="8" t="s">
        <v>10</v>
      </c>
      <c r="C49" s="8" t="s">
        <v>180</v>
      </c>
      <c r="D49" s="8" t="s">
        <v>193</v>
      </c>
      <c r="E49" s="8" t="s">
        <v>245</v>
      </c>
      <c r="F49" s="8" t="s">
        <v>246</v>
      </c>
      <c r="G49" s="8" t="s">
        <v>247</v>
      </c>
      <c r="H49" s="8" t="s">
        <v>6</v>
      </c>
      <c r="I49" s="8"/>
      <c r="J49" s="9"/>
      <c r="K49" s="8"/>
    </row>
    <row r="50" customFormat="false" ht="28.35" hidden="false" customHeight="false" outlineLevel="0" collapsed="false">
      <c r="A50" s="8" t="s">
        <v>248</v>
      </c>
      <c r="B50" s="8" t="s">
        <v>10</v>
      </c>
      <c r="C50" s="8" t="s">
        <v>180</v>
      </c>
      <c r="D50" s="8" t="s">
        <v>193</v>
      </c>
      <c r="E50" s="8" t="s">
        <v>249</v>
      </c>
      <c r="F50" s="8" t="s">
        <v>250</v>
      </c>
      <c r="G50" s="8" t="s">
        <v>97</v>
      </c>
      <c r="H50" s="8" t="s">
        <v>6</v>
      </c>
      <c r="I50" s="8"/>
      <c r="J50" s="9"/>
      <c r="K50" s="8"/>
    </row>
    <row r="51" customFormat="false" ht="15" hidden="false" customHeight="false" outlineLevel="0" collapsed="false">
      <c r="A51" s="8" t="s">
        <v>251</v>
      </c>
      <c r="B51" s="8" t="s">
        <v>10</v>
      </c>
      <c r="C51" s="8" t="s">
        <v>252</v>
      </c>
      <c r="D51" s="8" t="s">
        <v>78</v>
      </c>
      <c r="E51" s="8" t="s">
        <v>253</v>
      </c>
      <c r="F51" s="8" t="s">
        <v>254</v>
      </c>
      <c r="G51" s="8" t="s">
        <v>255</v>
      </c>
      <c r="H51" s="8" t="s">
        <v>6</v>
      </c>
      <c r="I51" s="8"/>
      <c r="J51" s="9"/>
      <c r="K51" s="8"/>
    </row>
    <row r="52" customFormat="false" ht="28.35" hidden="false" customHeight="false" outlineLevel="0" collapsed="false">
      <c r="A52" s="8" t="s">
        <v>256</v>
      </c>
      <c r="B52" s="8" t="s">
        <v>10</v>
      </c>
      <c r="C52" s="8" t="s">
        <v>252</v>
      </c>
      <c r="D52" s="8" t="s">
        <v>78</v>
      </c>
      <c r="E52" s="8" t="s">
        <v>257</v>
      </c>
      <c r="F52" s="8" t="s">
        <v>258</v>
      </c>
      <c r="G52" s="8" t="s">
        <v>255</v>
      </c>
      <c r="H52" s="8" t="s">
        <v>6</v>
      </c>
      <c r="I52" s="8"/>
      <c r="J52" s="9"/>
      <c r="K52" s="8"/>
    </row>
    <row r="53" customFormat="false" ht="28.35" hidden="false" customHeight="false" outlineLevel="0" collapsed="false">
      <c r="A53" s="8" t="s">
        <v>259</v>
      </c>
      <c r="B53" s="8" t="s">
        <v>10</v>
      </c>
      <c r="C53" s="8" t="s">
        <v>252</v>
      </c>
      <c r="D53" s="8" t="s">
        <v>94</v>
      </c>
      <c r="E53" s="8" t="s">
        <v>260</v>
      </c>
      <c r="F53" s="8" t="s">
        <v>261</v>
      </c>
      <c r="G53" s="8" t="s">
        <v>262</v>
      </c>
      <c r="H53" s="8" t="s">
        <v>6</v>
      </c>
      <c r="I53" s="8"/>
      <c r="J53" s="9"/>
      <c r="K53" s="8"/>
    </row>
    <row r="54" customFormat="false" ht="15" hidden="false" customHeight="false" outlineLevel="0" collapsed="false">
      <c r="A54" s="8" t="s">
        <v>263</v>
      </c>
      <c r="B54" s="8" t="s">
        <v>10</v>
      </c>
      <c r="C54" s="8" t="s">
        <v>252</v>
      </c>
      <c r="D54" s="8" t="s">
        <v>78</v>
      </c>
      <c r="E54" s="8" t="s">
        <v>264</v>
      </c>
      <c r="F54" s="8" t="s">
        <v>265</v>
      </c>
      <c r="G54" s="8"/>
      <c r="H54" s="8" t="s">
        <v>6</v>
      </c>
      <c r="I54" s="8"/>
      <c r="J54" s="9"/>
      <c r="K54" s="8"/>
    </row>
    <row r="55" customFormat="false" ht="28.35" hidden="false" customHeight="false" outlineLevel="0" collapsed="false">
      <c r="A55" s="8" t="s">
        <v>266</v>
      </c>
      <c r="B55" s="8" t="s">
        <v>11</v>
      </c>
      <c r="C55" s="8" t="s">
        <v>267</v>
      </c>
      <c r="D55" s="8" t="s">
        <v>78</v>
      </c>
      <c r="E55" s="8" t="s">
        <v>268</v>
      </c>
      <c r="F55" s="8" t="s">
        <v>269</v>
      </c>
      <c r="G55" s="8" t="s">
        <v>270</v>
      </c>
      <c r="H55" s="8" t="s">
        <v>6</v>
      </c>
      <c r="I55" s="8"/>
      <c r="J55" s="9"/>
      <c r="K55" s="8"/>
    </row>
    <row r="56" customFormat="false" ht="28.35" hidden="false" customHeight="false" outlineLevel="0" collapsed="false">
      <c r="A56" s="8" t="s">
        <v>271</v>
      </c>
      <c r="B56" s="8" t="s">
        <v>11</v>
      </c>
      <c r="C56" s="8" t="s">
        <v>267</v>
      </c>
      <c r="D56" s="8" t="s">
        <v>78</v>
      </c>
      <c r="E56" s="8" t="s">
        <v>272</v>
      </c>
      <c r="F56" s="8" t="s">
        <v>273</v>
      </c>
      <c r="G56" s="8" t="s">
        <v>270</v>
      </c>
      <c r="H56" s="8" t="s">
        <v>6</v>
      </c>
      <c r="I56" s="8"/>
      <c r="J56" s="9"/>
      <c r="K56" s="8"/>
    </row>
    <row r="57" customFormat="false" ht="28.35" hidden="false" customHeight="false" outlineLevel="0" collapsed="false">
      <c r="A57" s="8" t="s">
        <v>274</v>
      </c>
      <c r="B57" s="8" t="s">
        <v>11</v>
      </c>
      <c r="C57" s="8" t="s">
        <v>267</v>
      </c>
      <c r="D57" s="8" t="s">
        <v>78</v>
      </c>
      <c r="E57" s="8" t="s">
        <v>275</v>
      </c>
      <c r="F57" s="8" t="s">
        <v>276</v>
      </c>
      <c r="G57" s="8" t="s">
        <v>270</v>
      </c>
      <c r="H57" s="8" t="s">
        <v>6</v>
      </c>
      <c r="I57" s="8"/>
      <c r="J57" s="9"/>
      <c r="K57" s="8"/>
    </row>
    <row r="58" customFormat="false" ht="28.35" hidden="false" customHeight="false" outlineLevel="0" collapsed="false">
      <c r="A58" s="8" t="s">
        <v>277</v>
      </c>
      <c r="B58" s="8" t="s">
        <v>11</v>
      </c>
      <c r="C58" s="8" t="s">
        <v>267</v>
      </c>
      <c r="D58" s="8" t="s">
        <v>78</v>
      </c>
      <c r="E58" s="8" t="s">
        <v>278</v>
      </c>
      <c r="F58" s="8" t="s">
        <v>279</v>
      </c>
      <c r="G58" s="8" t="s">
        <v>270</v>
      </c>
      <c r="H58" s="8" t="s">
        <v>6</v>
      </c>
      <c r="I58" s="8"/>
      <c r="J58" s="9"/>
      <c r="K58" s="8"/>
    </row>
    <row r="59" customFormat="false" ht="28.35" hidden="false" customHeight="false" outlineLevel="0" collapsed="false">
      <c r="A59" s="8" t="s">
        <v>280</v>
      </c>
      <c r="B59" s="8" t="s">
        <v>11</v>
      </c>
      <c r="C59" s="8" t="s">
        <v>267</v>
      </c>
      <c r="D59" s="8" t="s">
        <v>78</v>
      </c>
      <c r="E59" s="8" t="s">
        <v>281</v>
      </c>
      <c r="F59" s="8" t="s">
        <v>282</v>
      </c>
      <c r="G59" s="8"/>
      <c r="H59" s="8" t="s">
        <v>6</v>
      </c>
      <c r="I59" s="8"/>
      <c r="J59" s="9"/>
      <c r="K59" s="8"/>
    </row>
    <row r="60" customFormat="false" ht="28.35" hidden="false" customHeight="false" outlineLevel="0" collapsed="false">
      <c r="A60" s="8" t="s">
        <v>283</v>
      </c>
      <c r="B60" s="8" t="s">
        <v>11</v>
      </c>
      <c r="C60" s="8" t="s">
        <v>267</v>
      </c>
      <c r="D60" s="8" t="s">
        <v>78</v>
      </c>
      <c r="E60" s="8" t="s">
        <v>284</v>
      </c>
      <c r="F60" s="8" t="s">
        <v>285</v>
      </c>
      <c r="G60" s="8" t="s">
        <v>286</v>
      </c>
      <c r="H60" s="8" t="s">
        <v>6</v>
      </c>
      <c r="I60" s="8"/>
      <c r="J60" s="9"/>
      <c r="K60" s="8"/>
    </row>
    <row r="61" customFormat="false" ht="28.35" hidden="false" customHeight="false" outlineLevel="0" collapsed="false">
      <c r="A61" s="8" t="s">
        <v>287</v>
      </c>
      <c r="B61" s="8" t="s">
        <v>11</v>
      </c>
      <c r="C61" s="8" t="s">
        <v>288</v>
      </c>
      <c r="D61" s="8" t="s">
        <v>78</v>
      </c>
      <c r="E61" s="8" t="s">
        <v>289</v>
      </c>
      <c r="F61" s="8" t="s">
        <v>290</v>
      </c>
      <c r="G61" s="8" t="s">
        <v>291</v>
      </c>
      <c r="H61" s="8" t="s">
        <v>6</v>
      </c>
      <c r="I61" s="8"/>
      <c r="J61" s="9"/>
      <c r="K61" s="8"/>
    </row>
    <row r="62" customFormat="false" ht="28.35" hidden="false" customHeight="false" outlineLevel="0" collapsed="false">
      <c r="A62" s="8" t="s">
        <v>292</v>
      </c>
      <c r="B62" s="8" t="s">
        <v>11</v>
      </c>
      <c r="C62" s="8" t="s">
        <v>293</v>
      </c>
      <c r="D62" s="8" t="s">
        <v>78</v>
      </c>
      <c r="E62" s="8" t="s">
        <v>294</v>
      </c>
      <c r="F62" s="8" t="s">
        <v>295</v>
      </c>
      <c r="G62" s="8" t="s">
        <v>291</v>
      </c>
      <c r="H62" s="8" t="s">
        <v>6</v>
      </c>
      <c r="I62" s="8"/>
      <c r="J62" s="9"/>
      <c r="K62" s="8"/>
    </row>
    <row r="63" customFormat="false" ht="28.35" hidden="false" customHeight="false" outlineLevel="0" collapsed="false">
      <c r="A63" s="8" t="s">
        <v>296</v>
      </c>
      <c r="B63" s="8" t="s">
        <v>11</v>
      </c>
      <c r="C63" s="8" t="s">
        <v>293</v>
      </c>
      <c r="D63" s="8" t="s">
        <v>78</v>
      </c>
      <c r="E63" s="8" t="s">
        <v>297</v>
      </c>
      <c r="F63" s="8" t="s">
        <v>298</v>
      </c>
      <c r="G63" s="8" t="s">
        <v>299</v>
      </c>
      <c r="H63" s="8" t="s">
        <v>6</v>
      </c>
      <c r="I63" s="8"/>
      <c r="J63" s="9"/>
      <c r="K63" s="8"/>
    </row>
    <row r="64" customFormat="false" ht="28.35" hidden="false" customHeight="false" outlineLevel="0" collapsed="false">
      <c r="A64" s="8" t="s">
        <v>300</v>
      </c>
      <c r="B64" s="8" t="s">
        <v>11</v>
      </c>
      <c r="C64" s="8" t="s">
        <v>301</v>
      </c>
      <c r="D64" s="8" t="s">
        <v>78</v>
      </c>
      <c r="E64" s="8" t="s">
        <v>302</v>
      </c>
      <c r="F64" s="8" t="s">
        <v>303</v>
      </c>
      <c r="G64" s="8" t="s">
        <v>286</v>
      </c>
      <c r="H64" s="8" t="s">
        <v>6</v>
      </c>
      <c r="I64" s="8"/>
      <c r="J64" s="9"/>
      <c r="K64" s="8"/>
    </row>
    <row r="65" customFormat="false" ht="28.35" hidden="false" customHeight="false" outlineLevel="0" collapsed="false">
      <c r="A65" s="8" t="s">
        <v>304</v>
      </c>
      <c r="B65" s="8" t="s">
        <v>11</v>
      </c>
      <c r="C65" s="8" t="s">
        <v>301</v>
      </c>
      <c r="D65" s="8" t="s">
        <v>78</v>
      </c>
      <c r="E65" s="8" t="s">
        <v>305</v>
      </c>
      <c r="F65" s="8" t="s">
        <v>306</v>
      </c>
      <c r="G65" s="8" t="s">
        <v>307</v>
      </c>
      <c r="H65" s="8" t="s">
        <v>6</v>
      </c>
      <c r="I65" s="8"/>
      <c r="J65" s="9"/>
      <c r="K65" s="8"/>
    </row>
    <row r="66" customFormat="false" ht="28.35" hidden="false" customHeight="false" outlineLevel="0" collapsed="false">
      <c r="A66" s="8" t="s">
        <v>308</v>
      </c>
      <c r="B66" s="8" t="s">
        <v>11</v>
      </c>
      <c r="C66" s="8" t="s">
        <v>301</v>
      </c>
      <c r="D66" s="8" t="s">
        <v>78</v>
      </c>
      <c r="E66" s="8" t="s">
        <v>309</v>
      </c>
      <c r="F66" s="8" t="s">
        <v>310</v>
      </c>
      <c r="G66" s="8" t="s">
        <v>307</v>
      </c>
      <c r="H66" s="8" t="s">
        <v>6</v>
      </c>
      <c r="I66" s="8"/>
      <c r="J66" s="9"/>
      <c r="K66" s="8"/>
    </row>
    <row r="67" customFormat="false" ht="28.35" hidden="false" customHeight="false" outlineLevel="0" collapsed="false">
      <c r="A67" s="8" t="s">
        <v>311</v>
      </c>
      <c r="B67" s="8" t="s">
        <v>11</v>
      </c>
      <c r="C67" s="8" t="s">
        <v>301</v>
      </c>
      <c r="D67" s="8" t="s">
        <v>78</v>
      </c>
      <c r="E67" s="8" t="s">
        <v>312</v>
      </c>
      <c r="F67" s="8" t="s">
        <v>313</v>
      </c>
      <c r="G67" s="8" t="s">
        <v>307</v>
      </c>
      <c r="H67" s="8" t="s">
        <v>6</v>
      </c>
      <c r="I67" s="8"/>
      <c r="J67" s="9"/>
      <c r="K67" s="8"/>
    </row>
    <row r="68" customFormat="false" ht="28.35" hidden="false" customHeight="false" outlineLevel="0" collapsed="false">
      <c r="A68" s="8" t="s">
        <v>314</v>
      </c>
      <c r="B68" s="8" t="s">
        <v>11</v>
      </c>
      <c r="C68" s="8" t="s">
        <v>301</v>
      </c>
      <c r="D68" s="8" t="s">
        <v>78</v>
      </c>
      <c r="E68" s="8" t="s">
        <v>315</v>
      </c>
      <c r="F68" s="8" t="s">
        <v>316</v>
      </c>
      <c r="G68" s="8" t="s">
        <v>307</v>
      </c>
      <c r="H68" s="8" t="s">
        <v>6</v>
      </c>
      <c r="I68" s="8"/>
      <c r="J68" s="9"/>
      <c r="K68" s="8"/>
    </row>
    <row r="69" customFormat="false" ht="28.35" hidden="false" customHeight="false" outlineLevel="0" collapsed="false">
      <c r="A69" s="8" t="s">
        <v>317</v>
      </c>
      <c r="B69" s="8" t="s">
        <v>11</v>
      </c>
      <c r="C69" s="8" t="s">
        <v>301</v>
      </c>
      <c r="D69" s="8" t="s">
        <v>78</v>
      </c>
      <c r="E69" s="8" t="s">
        <v>318</v>
      </c>
      <c r="F69" s="8" t="s">
        <v>319</v>
      </c>
      <c r="G69" s="8" t="s">
        <v>307</v>
      </c>
      <c r="H69" s="8" t="s">
        <v>6</v>
      </c>
      <c r="I69" s="8"/>
      <c r="J69" s="9"/>
      <c r="K69" s="8"/>
    </row>
    <row r="70" customFormat="false" ht="28.35" hidden="false" customHeight="false" outlineLevel="0" collapsed="false">
      <c r="A70" s="8" t="s">
        <v>320</v>
      </c>
      <c r="B70" s="8" t="s">
        <v>11</v>
      </c>
      <c r="C70" s="8" t="s">
        <v>301</v>
      </c>
      <c r="D70" s="8" t="s">
        <v>78</v>
      </c>
      <c r="E70" s="8" t="s">
        <v>321</v>
      </c>
      <c r="F70" s="8" t="s">
        <v>322</v>
      </c>
      <c r="G70" s="8" t="s">
        <v>307</v>
      </c>
      <c r="H70" s="8" t="s">
        <v>6</v>
      </c>
      <c r="I70" s="8"/>
      <c r="J70" s="9"/>
      <c r="K70" s="8"/>
    </row>
    <row r="71" customFormat="false" ht="28.35" hidden="false" customHeight="false" outlineLevel="0" collapsed="false">
      <c r="A71" s="8" t="s">
        <v>323</v>
      </c>
      <c r="B71" s="8" t="s">
        <v>11</v>
      </c>
      <c r="C71" s="8" t="s">
        <v>301</v>
      </c>
      <c r="D71" s="8" t="s">
        <v>78</v>
      </c>
      <c r="E71" s="8" t="s">
        <v>324</v>
      </c>
      <c r="F71" s="8" t="s">
        <v>325</v>
      </c>
      <c r="G71" s="8" t="s">
        <v>307</v>
      </c>
      <c r="H71" s="8" t="s">
        <v>6</v>
      </c>
      <c r="I71" s="8"/>
      <c r="J71" s="9"/>
      <c r="K71" s="8"/>
    </row>
    <row r="72" customFormat="false" ht="28.35" hidden="false" customHeight="false" outlineLevel="0" collapsed="false">
      <c r="A72" s="8" t="s">
        <v>326</v>
      </c>
      <c r="B72" s="8" t="s">
        <v>11</v>
      </c>
      <c r="C72" s="8" t="s">
        <v>301</v>
      </c>
      <c r="D72" s="8" t="s">
        <v>78</v>
      </c>
      <c r="E72" s="8" t="s">
        <v>327</v>
      </c>
      <c r="F72" s="8" t="s">
        <v>328</v>
      </c>
      <c r="G72" s="8" t="s">
        <v>307</v>
      </c>
      <c r="H72" s="8" t="s">
        <v>6</v>
      </c>
      <c r="I72" s="8"/>
      <c r="J72" s="9"/>
      <c r="K72" s="8"/>
    </row>
    <row r="73" customFormat="false" ht="28.35" hidden="false" customHeight="false" outlineLevel="0" collapsed="false">
      <c r="A73" s="8" t="s">
        <v>329</v>
      </c>
      <c r="B73" s="8" t="s">
        <v>11</v>
      </c>
      <c r="C73" s="8" t="s">
        <v>301</v>
      </c>
      <c r="D73" s="8" t="s">
        <v>78</v>
      </c>
      <c r="E73" s="8" t="s">
        <v>330</v>
      </c>
      <c r="F73" s="8" t="s">
        <v>331</v>
      </c>
      <c r="G73" s="8" t="s">
        <v>307</v>
      </c>
      <c r="H73" s="8" t="s">
        <v>6</v>
      </c>
      <c r="I73" s="8"/>
      <c r="J73" s="9"/>
      <c r="K73" s="8"/>
    </row>
    <row r="74" customFormat="false" ht="28.35" hidden="false" customHeight="false" outlineLevel="0" collapsed="false">
      <c r="A74" s="8" t="s">
        <v>332</v>
      </c>
      <c r="B74" s="8" t="s">
        <v>11</v>
      </c>
      <c r="C74" s="8" t="s">
        <v>301</v>
      </c>
      <c r="D74" s="8" t="s">
        <v>78</v>
      </c>
      <c r="E74" s="8" t="s">
        <v>333</v>
      </c>
      <c r="F74" s="8" t="s">
        <v>334</v>
      </c>
      <c r="G74" s="8" t="s">
        <v>307</v>
      </c>
      <c r="H74" s="8" t="s">
        <v>6</v>
      </c>
      <c r="I74" s="8"/>
      <c r="J74" s="9"/>
      <c r="K74" s="8"/>
    </row>
    <row r="75" customFormat="false" ht="28.35" hidden="false" customHeight="false" outlineLevel="0" collapsed="false">
      <c r="A75" s="8" t="s">
        <v>335</v>
      </c>
      <c r="B75" s="8" t="s">
        <v>11</v>
      </c>
      <c r="C75" s="8" t="s">
        <v>301</v>
      </c>
      <c r="D75" s="8" t="s">
        <v>78</v>
      </c>
      <c r="E75" s="8" t="s">
        <v>336</v>
      </c>
      <c r="F75" s="8" t="s">
        <v>337</v>
      </c>
      <c r="G75" s="8" t="s">
        <v>307</v>
      </c>
      <c r="H75" s="8" t="s">
        <v>6</v>
      </c>
      <c r="I75" s="8"/>
      <c r="J75" s="9"/>
      <c r="K75" s="8"/>
    </row>
    <row r="76" customFormat="false" ht="28.35" hidden="false" customHeight="false" outlineLevel="0" collapsed="false">
      <c r="A76" s="8" t="s">
        <v>338</v>
      </c>
      <c r="B76" s="8" t="s">
        <v>11</v>
      </c>
      <c r="C76" s="8" t="s">
        <v>301</v>
      </c>
      <c r="D76" s="8" t="s">
        <v>78</v>
      </c>
      <c r="E76" s="8" t="s">
        <v>339</v>
      </c>
      <c r="F76" s="8" t="s">
        <v>340</v>
      </c>
      <c r="G76" s="8" t="s">
        <v>307</v>
      </c>
      <c r="H76" s="8" t="s">
        <v>6</v>
      </c>
      <c r="I76" s="8"/>
      <c r="J76" s="9"/>
      <c r="K76" s="8"/>
    </row>
    <row r="77" customFormat="false" ht="28.35" hidden="false" customHeight="false" outlineLevel="0" collapsed="false">
      <c r="A77" s="8" t="s">
        <v>341</v>
      </c>
      <c r="B77" s="8" t="s">
        <v>11</v>
      </c>
      <c r="C77" s="8" t="s">
        <v>301</v>
      </c>
      <c r="D77" s="8" t="s">
        <v>78</v>
      </c>
      <c r="E77" s="8" t="s">
        <v>342</v>
      </c>
      <c r="F77" s="8" t="s">
        <v>343</v>
      </c>
      <c r="G77" s="8"/>
      <c r="H77" s="8" t="s">
        <v>6</v>
      </c>
      <c r="I77" s="8"/>
      <c r="J77" s="9"/>
      <c r="K77" s="8"/>
    </row>
    <row r="78" customFormat="false" ht="28.35" hidden="false" customHeight="false" outlineLevel="0" collapsed="false">
      <c r="A78" s="8" t="s">
        <v>344</v>
      </c>
      <c r="B78" s="8" t="s">
        <v>11</v>
      </c>
      <c r="C78" s="8" t="s">
        <v>301</v>
      </c>
      <c r="D78" s="8" t="s">
        <v>78</v>
      </c>
      <c r="E78" s="8" t="s">
        <v>345</v>
      </c>
      <c r="F78" s="8" t="s">
        <v>346</v>
      </c>
      <c r="G78" s="8"/>
      <c r="H78" s="8" t="s">
        <v>6</v>
      </c>
      <c r="I78" s="8"/>
      <c r="J78" s="9"/>
      <c r="K78" s="8"/>
    </row>
    <row r="79" customFormat="false" ht="28.35" hidden="false" customHeight="false" outlineLevel="0" collapsed="false">
      <c r="A79" s="8" t="s">
        <v>347</v>
      </c>
      <c r="B79" s="8" t="s">
        <v>11</v>
      </c>
      <c r="C79" s="8" t="s">
        <v>301</v>
      </c>
      <c r="D79" s="8" t="s">
        <v>78</v>
      </c>
      <c r="E79" s="8" t="s">
        <v>348</v>
      </c>
      <c r="F79" s="8" t="s">
        <v>349</v>
      </c>
      <c r="G79" s="8"/>
      <c r="H79" s="8" t="s">
        <v>6</v>
      </c>
      <c r="I79" s="8"/>
      <c r="J79" s="9"/>
      <c r="K79" s="8"/>
    </row>
    <row r="80" customFormat="false" ht="28.35" hidden="false" customHeight="false" outlineLevel="0" collapsed="false">
      <c r="A80" s="8" t="s">
        <v>350</v>
      </c>
      <c r="B80" s="8" t="s">
        <v>11</v>
      </c>
      <c r="C80" s="8" t="s">
        <v>301</v>
      </c>
      <c r="D80" s="8" t="s">
        <v>78</v>
      </c>
      <c r="E80" s="8" t="s">
        <v>351</v>
      </c>
      <c r="F80" s="8" t="s">
        <v>352</v>
      </c>
      <c r="G80" s="8"/>
      <c r="H80" s="8" t="s">
        <v>6</v>
      </c>
      <c r="I80" s="8"/>
      <c r="J80" s="9"/>
      <c r="K80" s="8"/>
    </row>
    <row r="81" customFormat="false" ht="28.35" hidden="false" customHeight="false" outlineLevel="0" collapsed="false">
      <c r="A81" s="8" t="s">
        <v>353</v>
      </c>
      <c r="B81" s="8" t="s">
        <v>11</v>
      </c>
      <c r="C81" s="8" t="s">
        <v>301</v>
      </c>
      <c r="D81" s="8" t="s">
        <v>78</v>
      </c>
      <c r="E81" s="8" t="s">
        <v>354</v>
      </c>
      <c r="F81" s="8" t="s">
        <v>355</v>
      </c>
      <c r="G81" s="8" t="s">
        <v>307</v>
      </c>
      <c r="H81" s="8" t="s">
        <v>6</v>
      </c>
      <c r="I81" s="8"/>
      <c r="J81" s="9"/>
      <c r="K81" s="8"/>
    </row>
    <row r="82" customFormat="false" ht="28.35" hidden="false" customHeight="false" outlineLevel="0" collapsed="false">
      <c r="A82" s="8" t="s">
        <v>356</v>
      </c>
      <c r="B82" s="8" t="s">
        <v>11</v>
      </c>
      <c r="C82" s="8" t="s">
        <v>301</v>
      </c>
      <c r="D82" s="8" t="s">
        <v>78</v>
      </c>
      <c r="E82" s="8" t="s">
        <v>357</v>
      </c>
      <c r="F82" s="8" t="s">
        <v>298</v>
      </c>
      <c r="G82" s="8" t="s">
        <v>299</v>
      </c>
      <c r="H82" s="8" t="s">
        <v>6</v>
      </c>
      <c r="I82" s="8"/>
      <c r="J82" s="9"/>
      <c r="K82" s="8"/>
    </row>
    <row r="83" customFormat="false" ht="28.35" hidden="false" customHeight="false" outlineLevel="0" collapsed="false">
      <c r="A83" s="8" t="s">
        <v>358</v>
      </c>
      <c r="B83" s="8" t="s">
        <v>11</v>
      </c>
      <c r="C83" s="8" t="s">
        <v>301</v>
      </c>
      <c r="D83" s="8" t="s">
        <v>78</v>
      </c>
      <c r="E83" s="8" t="s">
        <v>359</v>
      </c>
      <c r="F83" s="8" t="s">
        <v>360</v>
      </c>
      <c r="G83" s="8"/>
      <c r="H83" s="8" t="s">
        <v>6</v>
      </c>
      <c r="I83" s="8"/>
      <c r="J83" s="9"/>
      <c r="K83" s="8"/>
    </row>
    <row r="84" customFormat="false" ht="28.35" hidden="false" customHeight="false" outlineLevel="0" collapsed="false">
      <c r="A84" s="8" t="s">
        <v>361</v>
      </c>
      <c r="B84" s="8" t="s">
        <v>11</v>
      </c>
      <c r="C84" s="8" t="s">
        <v>301</v>
      </c>
      <c r="D84" s="8" t="s">
        <v>78</v>
      </c>
      <c r="E84" s="8" t="s">
        <v>362</v>
      </c>
      <c r="F84" s="8" t="s">
        <v>363</v>
      </c>
      <c r="G84" s="8"/>
      <c r="H84" s="8" t="s">
        <v>6</v>
      </c>
      <c r="I84" s="8"/>
      <c r="J84" s="9"/>
      <c r="K84" s="8"/>
    </row>
    <row r="85" customFormat="false" ht="28.35" hidden="false" customHeight="false" outlineLevel="0" collapsed="false">
      <c r="A85" s="8" t="s">
        <v>364</v>
      </c>
      <c r="B85" s="8" t="s">
        <v>11</v>
      </c>
      <c r="C85" s="8" t="s">
        <v>301</v>
      </c>
      <c r="D85" s="8" t="s">
        <v>78</v>
      </c>
      <c r="E85" s="8" t="s">
        <v>365</v>
      </c>
      <c r="F85" s="8" t="s">
        <v>366</v>
      </c>
      <c r="G85" s="8" t="s">
        <v>286</v>
      </c>
      <c r="H85" s="8" t="s">
        <v>6</v>
      </c>
      <c r="I85" s="8"/>
      <c r="J85" s="9"/>
      <c r="K85" s="8"/>
    </row>
    <row r="86" customFormat="false" ht="28.35" hidden="false" customHeight="false" outlineLevel="0" collapsed="false">
      <c r="A86" s="8" t="s">
        <v>367</v>
      </c>
      <c r="B86" s="8" t="s">
        <v>11</v>
      </c>
      <c r="C86" s="8" t="s">
        <v>301</v>
      </c>
      <c r="D86" s="8" t="s">
        <v>78</v>
      </c>
      <c r="E86" s="8" t="s">
        <v>368</v>
      </c>
      <c r="F86" s="8" t="s">
        <v>369</v>
      </c>
      <c r="G86" s="8" t="s">
        <v>370</v>
      </c>
      <c r="H86" s="8" t="s">
        <v>6</v>
      </c>
      <c r="I86" s="8"/>
      <c r="J86" s="9"/>
      <c r="K86" s="8"/>
    </row>
    <row r="87" customFormat="false" ht="28.35" hidden="false" customHeight="false" outlineLevel="0" collapsed="false">
      <c r="A87" s="8" t="s">
        <v>371</v>
      </c>
      <c r="B87" s="8" t="s">
        <v>11</v>
      </c>
      <c r="C87" s="8" t="s">
        <v>301</v>
      </c>
      <c r="D87" s="8" t="s">
        <v>78</v>
      </c>
      <c r="E87" s="8" t="s">
        <v>372</v>
      </c>
      <c r="F87" s="8" t="s">
        <v>373</v>
      </c>
      <c r="G87" s="8" t="s">
        <v>374</v>
      </c>
      <c r="H87" s="8" t="s">
        <v>6</v>
      </c>
      <c r="I87" s="8"/>
      <c r="J87" s="9"/>
      <c r="K87" s="8"/>
    </row>
    <row r="88" customFormat="false" ht="28.35" hidden="false" customHeight="false" outlineLevel="0" collapsed="false">
      <c r="A88" s="8" t="s">
        <v>375</v>
      </c>
      <c r="B88" s="8" t="s">
        <v>11</v>
      </c>
      <c r="C88" s="8" t="s">
        <v>376</v>
      </c>
      <c r="D88" s="8" t="s">
        <v>78</v>
      </c>
      <c r="E88" s="8" t="s">
        <v>377</v>
      </c>
      <c r="F88" s="8" t="s">
        <v>378</v>
      </c>
      <c r="G88" s="8" t="s">
        <v>374</v>
      </c>
      <c r="H88" s="8" t="s">
        <v>6</v>
      </c>
      <c r="I88" s="8"/>
      <c r="J88" s="9"/>
      <c r="K88" s="8"/>
    </row>
    <row r="89" customFormat="false" ht="28.35" hidden="false" customHeight="false" outlineLevel="0" collapsed="false">
      <c r="A89" s="8" t="s">
        <v>379</v>
      </c>
      <c r="B89" s="8" t="s">
        <v>11</v>
      </c>
      <c r="C89" s="8" t="s">
        <v>376</v>
      </c>
      <c r="D89" s="8" t="s">
        <v>78</v>
      </c>
      <c r="E89" s="8" t="s">
        <v>380</v>
      </c>
      <c r="F89" s="8" t="s">
        <v>381</v>
      </c>
      <c r="G89" s="8" t="s">
        <v>382</v>
      </c>
      <c r="H89" s="8" t="s">
        <v>6</v>
      </c>
      <c r="I89" s="8"/>
      <c r="J89" s="9"/>
      <c r="K89" s="8"/>
    </row>
    <row r="90" customFormat="false" ht="28.35" hidden="false" customHeight="false" outlineLevel="0" collapsed="false">
      <c r="A90" s="8" t="s">
        <v>383</v>
      </c>
      <c r="B90" s="8" t="s">
        <v>11</v>
      </c>
      <c r="C90" s="8" t="s">
        <v>376</v>
      </c>
      <c r="D90" s="8" t="s">
        <v>78</v>
      </c>
      <c r="E90" s="8" t="s">
        <v>384</v>
      </c>
      <c r="F90" s="8" t="s">
        <v>385</v>
      </c>
      <c r="G90" s="8" t="s">
        <v>386</v>
      </c>
      <c r="H90" s="8" t="s">
        <v>6</v>
      </c>
      <c r="I90" s="8"/>
      <c r="J90" s="9"/>
      <c r="K90" s="8"/>
    </row>
    <row r="91" customFormat="false" ht="28.35" hidden="false" customHeight="false" outlineLevel="0" collapsed="false">
      <c r="A91" s="8" t="s">
        <v>387</v>
      </c>
      <c r="B91" s="8" t="s">
        <v>11</v>
      </c>
      <c r="C91" s="8" t="s">
        <v>376</v>
      </c>
      <c r="D91" s="8" t="s">
        <v>78</v>
      </c>
      <c r="E91" s="8" t="s">
        <v>388</v>
      </c>
      <c r="F91" s="8" t="s">
        <v>389</v>
      </c>
      <c r="G91" s="8" t="s">
        <v>390</v>
      </c>
      <c r="H91" s="8" t="s">
        <v>6</v>
      </c>
      <c r="I91" s="8"/>
      <c r="J91" s="9"/>
      <c r="K91" s="8"/>
    </row>
    <row r="92" customFormat="false" ht="28.35" hidden="false" customHeight="false" outlineLevel="0" collapsed="false">
      <c r="A92" s="8" t="s">
        <v>391</v>
      </c>
      <c r="B92" s="8" t="s">
        <v>11</v>
      </c>
      <c r="C92" s="8" t="s">
        <v>376</v>
      </c>
      <c r="D92" s="8" t="s">
        <v>78</v>
      </c>
      <c r="E92" s="8" t="s">
        <v>392</v>
      </c>
      <c r="F92" s="8" t="s">
        <v>393</v>
      </c>
      <c r="G92" s="8" t="s">
        <v>394</v>
      </c>
      <c r="H92" s="8" t="s">
        <v>6</v>
      </c>
      <c r="I92" s="8"/>
      <c r="J92" s="9"/>
      <c r="K92" s="8"/>
    </row>
    <row r="93" customFormat="false" ht="15" hidden="false" customHeight="false" outlineLevel="0" collapsed="false">
      <c r="A93" s="8" t="s">
        <v>395</v>
      </c>
      <c r="B93" s="8" t="s">
        <v>12</v>
      </c>
      <c r="C93" s="8" t="s">
        <v>396</v>
      </c>
      <c r="D93" s="8" t="s">
        <v>78</v>
      </c>
      <c r="E93" s="8" t="s">
        <v>397</v>
      </c>
      <c r="F93" s="8" t="s">
        <v>398</v>
      </c>
      <c r="G93" s="8" t="s">
        <v>386</v>
      </c>
      <c r="H93" s="8" t="s">
        <v>6</v>
      </c>
      <c r="I93" s="8"/>
      <c r="J93" s="9"/>
      <c r="K93" s="8"/>
    </row>
    <row r="94" customFormat="false" ht="15" hidden="false" customHeight="false" outlineLevel="0" collapsed="false">
      <c r="A94" s="8" t="s">
        <v>399</v>
      </c>
      <c r="B94" s="8" t="s">
        <v>12</v>
      </c>
      <c r="C94" s="8" t="s">
        <v>396</v>
      </c>
      <c r="D94" s="8" t="s">
        <v>78</v>
      </c>
      <c r="E94" s="8" t="s">
        <v>400</v>
      </c>
      <c r="F94" s="8" t="s">
        <v>401</v>
      </c>
      <c r="G94" s="8" t="s">
        <v>402</v>
      </c>
      <c r="H94" s="8" t="s">
        <v>6</v>
      </c>
      <c r="I94" s="8"/>
      <c r="J94" s="9"/>
      <c r="K94" s="8"/>
    </row>
    <row r="95" customFormat="false" ht="15" hidden="false" customHeight="false" outlineLevel="0" collapsed="false">
      <c r="A95" s="8" t="s">
        <v>403</v>
      </c>
      <c r="B95" s="8" t="s">
        <v>12</v>
      </c>
      <c r="C95" s="8" t="s">
        <v>396</v>
      </c>
      <c r="D95" s="8" t="s">
        <v>78</v>
      </c>
      <c r="E95" s="8" t="s">
        <v>404</v>
      </c>
      <c r="F95" s="8" t="s">
        <v>405</v>
      </c>
      <c r="G95" s="8" t="s">
        <v>386</v>
      </c>
      <c r="H95" s="8" t="s">
        <v>6</v>
      </c>
      <c r="I95" s="8"/>
      <c r="J95" s="9"/>
      <c r="K95" s="8"/>
    </row>
    <row r="96" customFormat="false" ht="15" hidden="false" customHeight="false" outlineLevel="0" collapsed="false">
      <c r="A96" s="8" t="s">
        <v>406</v>
      </c>
      <c r="B96" s="8" t="s">
        <v>12</v>
      </c>
      <c r="C96" s="8" t="s">
        <v>396</v>
      </c>
      <c r="D96" s="8" t="s">
        <v>78</v>
      </c>
      <c r="E96" s="8" t="s">
        <v>407</v>
      </c>
      <c r="F96" s="8" t="s">
        <v>408</v>
      </c>
      <c r="G96" s="8" t="s">
        <v>402</v>
      </c>
      <c r="H96" s="8" t="s">
        <v>6</v>
      </c>
      <c r="I96" s="8"/>
      <c r="J96" s="9"/>
      <c r="K96" s="8"/>
    </row>
    <row r="97" customFormat="false" ht="15" hidden="false" customHeight="false" outlineLevel="0" collapsed="false">
      <c r="A97" s="8" t="s">
        <v>409</v>
      </c>
      <c r="B97" s="8" t="s">
        <v>12</v>
      </c>
      <c r="C97" s="8" t="s">
        <v>396</v>
      </c>
      <c r="D97" s="8" t="s">
        <v>78</v>
      </c>
      <c r="E97" s="8" t="s">
        <v>410</v>
      </c>
      <c r="F97" s="8" t="s">
        <v>411</v>
      </c>
      <c r="G97" s="8"/>
      <c r="H97" s="8" t="s">
        <v>6</v>
      </c>
      <c r="I97" s="8"/>
      <c r="J97" s="9"/>
      <c r="K97" s="8"/>
    </row>
    <row r="98" customFormat="false" ht="15" hidden="false" customHeight="false" outlineLevel="0" collapsed="false">
      <c r="A98" s="8" t="s">
        <v>412</v>
      </c>
      <c r="B98" s="8" t="s">
        <v>12</v>
      </c>
      <c r="C98" s="8" t="s">
        <v>396</v>
      </c>
      <c r="D98" s="8" t="s">
        <v>167</v>
      </c>
      <c r="E98" s="8" t="s">
        <v>413</v>
      </c>
      <c r="F98" s="8" t="s">
        <v>414</v>
      </c>
      <c r="G98" s="8" t="s">
        <v>390</v>
      </c>
      <c r="H98" s="8" t="s">
        <v>6</v>
      </c>
      <c r="I98" s="8"/>
      <c r="J98" s="9"/>
      <c r="K98" s="8"/>
    </row>
    <row r="99" customFormat="false" ht="15" hidden="false" customHeight="false" outlineLevel="0" collapsed="false">
      <c r="A99" s="8" t="s">
        <v>415</v>
      </c>
      <c r="B99" s="8" t="s">
        <v>12</v>
      </c>
      <c r="C99" s="8" t="s">
        <v>396</v>
      </c>
      <c r="D99" s="8" t="s">
        <v>167</v>
      </c>
      <c r="E99" s="8" t="s">
        <v>416</v>
      </c>
      <c r="F99" s="8" t="s">
        <v>417</v>
      </c>
      <c r="G99" s="8" t="s">
        <v>390</v>
      </c>
      <c r="H99" s="8" t="s">
        <v>6</v>
      </c>
      <c r="I99" s="8"/>
      <c r="J99" s="9"/>
      <c r="K99" s="8"/>
    </row>
    <row r="100" customFormat="false" ht="15" hidden="false" customHeight="false" outlineLevel="0" collapsed="false">
      <c r="A100" s="8" t="s">
        <v>418</v>
      </c>
      <c r="B100" s="8" t="s">
        <v>12</v>
      </c>
      <c r="C100" s="8" t="s">
        <v>396</v>
      </c>
      <c r="D100" s="8" t="s">
        <v>167</v>
      </c>
      <c r="E100" s="8" t="s">
        <v>419</v>
      </c>
      <c r="F100" s="8" t="s">
        <v>420</v>
      </c>
      <c r="G100" s="8" t="s">
        <v>390</v>
      </c>
      <c r="H100" s="8" t="s">
        <v>6</v>
      </c>
      <c r="I100" s="8"/>
      <c r="J100" s="9"/>
      <c r="K100" s="8"/>
    </row>
    <row r="101" customFormat="false" ht="15" hidden="false" customHeight="false" outlineLevel="0" collapsed="false">
      <c r="A101" s="8" t="s">
        <v>421</v>
      </c>
      <c r="B101" s="8" t="s">
        <v>12</v>
      </c>
      <c r="C101" s="8" t="s">
        <v>396</v>
      </c>
      <c r="D101" s="8" t="s">
        <v>167</v>
      </c>
      <c r="E101" s="8" t="s">
        <v>422</v>
      </c>
      <c r="F101" s="8" t="s">
        <v>423</v>
      </c>
      <c r="G101" s="8" t="s">
        <v>424</v>
      </c>
      <c r="H101" s="8" t="s">
        <v>6</v>
      </c>
      <c r="I101" s="8"/>
      <c r="J101" s="9"/>
      <c r="K101" s="8"/>
    </row>
    <row r="102" customFormat="false" ht="15" hidden="false" customHeight="false" outlineLevel="0" collapsed="false">
      <c r="A102" s="8" t="s">
        <v>425</v>
      </c>
      <c r="B102" s="8" t="s">
        <v>12</v>
      </c>
      <c r="C102" s="8" t="s">
        <v>396</v>
      </c>
      <c r="D102" s="8" t="s">
        <v>167</v>
      </c>
      <c r="E102" s="8" t="s">
        <v>426</v>
      </c>
      <c r="F102" s="8" t="s">
        <v>427</v>
      </c>
      <c r="G102" s="8"/>
      <c r="H102" s="8" t="s">
        <v>6</v>
      </c>
      <c r="I102" s="8"/>
      <c r="J102" s="9"/>
      <c r="K102" s="8"/>
    </row>
    <row r="103" customFormat="false" ht="15" hidden="false" customHeight="false" outlineLevel="0" collapsed="false">
      <c r="A103" s="8" t="s">
        <v>428</v>
      </c>
      <c r="B103" s="8" t="s">
        <v>13</v>
      </c>
      <c r="C103" s="8" t="s">
        <v>429</v>
      </c>
      <c r="D103" s="8" t="s">
        <v>167</v>
      </c>
      <c r="E103" s="8" t="s">
        <v>430</v>
      </c>
      <c r="F103" s="8" t="s">
        <v>431</v>
      </c>
      <c r="G103" s="8" t="s">
        <v>432</v>
      </c>
      <c r="H103" s="8" t="s">
        <v>6</v>
      </c>
      <c r="I103" s="8"/>
      <c r="J103" s="9"/>
      <c r="K103" s="8"/>
    </row>
    <row r="104" customFormat="false" ht="15" hidden="false" customHeight="false" outlineLevel="0" collapsed="false">
      <c r="A104" s="8" t="s">
        <v>433</v>
      </c>
      <c r="B104" s="8" t="s">
        <v>13</v>
      </c>
      <c r="C104" s="8" t="s">
        <v>429</v>
      </c>
      <c r="D104" s="8" t="s">
        <v>167</v>
      </c>
      <c r="E104" s="8" t="s">
        <v>434</v>
      </c>
      <c r="F104" s="8" t="s">
        <v>435</v>
      </c>
      <c r="G104" s="8" t="s">
        <v>436</v>
      </c>
      <c r="H104" s="8" t="s">
        <v>6</v>
      </c>
      <c r="I104" s="8"/>
      <c r="J104" s="9"/>
      <c r="K104" s="8"/>
    </row>
    <row r="105" customFormat="false" ht="15" hidden="false" customHeight="false" outlineLevel="0" collapsed="false">
      <c r="A105" s="8" t="s">
        <v>437</v>
      </c>
      <c r="B105" s="8" t="s">
        <v>13</v>
      </c>
      <c r="C105" s="8" t="s">
        <v>429</v>
      </c>
      <c r="D105" s="8" t="s">
        <v>167</v>
      </c>
      <c r="E105" s="8" t="s">
        <v>438</v>
      </c>
      <c r="F105" s="8" t="s">
        <v>254</v>
      </c>
      <c r="G105" s="8" t="s">
        <v>432</v>
      </c>
      <c r="H105" s="8" t="s">
        <v>6</v>
      </c>
      <c r="I105" s="8"/>
      <c r="J105" s="9"/>
      <c r="K105" s="8"/>
    </row>
    <row r="106" customFormat="false" ht="15" hidden="false" customHeight="false" outlineLevel="0" collapsed="false">
      <c r="A106" s="8" t="s">
        <v>439</v>
      </c>
      <c r="B106" s="8" t="s">
        <v>13</v>
      </c>
      <c r="C106" s="8" t="s">
        <v>429</v>
      </c>
      <c r="D106" s="8" t="s">
        <v>167</v>
      </c>
      <c r="E106" s="8" t="s">
        <v>440</v>
      </c>
      <c r="F106" s="8" t="s">
        <v>441</v>
      </c>
      <c r="G106" s="8" t="s">
        <v>442</v>
      </c>
      <c r="H106" s="8" t="s">
        <v>6</v>
      </c>
      <c r="I106" s="8"/>
      <c r="J106" s="9"/>
      <c r="K106" s="8"/>
    </row>
    <row r="107" customFormat="false" ht="15" hidden="false" customHeight="false" outlineLevel="0" collapsed="false">
      <c r="A107" s="8" t="s">
        <v>443</v>
      </c>
      <c r="B107" s="8" t="s">
        <v>13</v>
      </c>
      <c r="C107" s="8" t="s">
        <v>429</v>
      </c>
      <c r="D107" s="8" t="s">
        <v>167</v>
      </c>
      <c r="E107" s="8" t="s">
        <v>444</v>
      </c>
      <c r="F107" s="8" t="s">
        <v>445</v>
      </c>
      <c r="G107" s="8" t="s">
        <v>442</v>
      </c>
      <c r="H107" s="8" t="s">
        <v>6</v>
      </c>
      <c r="I107" s="8"/>
      <c r="J107" s="9"/>
      <c r="K107" s="8"/>
    </row>
    <row r="108" customFormat="false" ht="15" hidden="false" customHeight="false" outlineLevel="0" collapsed="false">
      <c r="A108" s="8" t="s">
        <v>446</v>
      </c>
      <c r="B108" s="8" t="s">
        <v>13</v>
      </c>
      <c r="C108" s="8" t="s">
        <v>429</v>
      </c>
      <c r="D108" s="8" t="s">
        <v>167</v>
      </c>
      <c r="E108" s="8" t="s">
        <v>447</v>
      </c>
      <c r="F108" s="8" t="s">
        <v>448</v>
      </c>
      <c r="G108" s="8" t="s">
        <v>442</v>
      </c>
      <c r="H108" s="8" t="s">
        <v>6</v>
      </c>
      <c r="I108" s="8"/>
      <c r="J108" s="9"/>
      <c r="K108" s="8"/>
    </row>
    <row r="109" customFormat="false" ht="15" hidden="false" customHeight="false" outlineLevel="0" collapsed="false">
      <c r="A109" s="8" t="s">
        <v>449</v>
      </c>
      <c r="B109" s="8" t="s">
        <v>13</v>
      </c>
      <c r="C109" s="8" t="s">
        <v>429</v>
      </c>
      <c r="D109" s="8" t="s">
        <v>167</v>
      </c>
      <c r="E109" s="8" t="s">
        <v>450</v>
      </c>
      <c r="F109" s="8" t="s">
        <v>448</v>
      </c>
      <c r="G109" s="8" t="s">
        <v>442</v>
      </c>
      <c r="H109" s="8" t="s">
        <v>6</v>
      </c>
      <c r="I109" s="8"/>
      <c r="J109" s="9"/>
      <c r="K109" s="8"/>
    </row>
    <row r="110" customFormat="false" ht="15" hidden="false" customHeight="false" outlineLevel="0" collapsed="false">
      <c r="A110" s="8" t="s">
        <v>451</v>
      </c>
      <c r="B110" s="8" t="s">
        <v>13</v>
      </c>
      <c r="C110" s="8" t="s">
        <v>429</v>
      </c>
      <c r="D110" s="8" t="s">
        <v>167</v>
      </c>
      <c r="E110" s="8" t="s">
        <v>452</v>
      </c>
      <c r="F110" s="8" t="s">
        <v>453</v>
      </c>
      <c r="G110" s="8" t="s">
        <v>442</v>
      </c>
      <c r="H110" s="8" t="s">
        <v>6</v>
      </c>
      <c r="I110" s="8"/>
      <c r="J110" s="9"/>
      <c r="K110" s="8"/>
    </row>
    <row r="111" customFormat="false" ht="15" hidden="false" customHeight="false" outlineLevel="0" collapsed="false">
      <c r="A111" s="8" t="s">
        <v>454</v>
      </c>
      <c r="B111" s="8" t="s">
        <v>13</v>
      </c>
      <c r="C111" s="8" t="s">
        <v>429</v>
      </c>
      <c r="D111" s="8" t="s">
        <v>167</v>
      </c>
      <c r="E111" s="8" t="s">
        <v>455</v>
      </c>
      <c r="F111" s="8" t="s">
        <v>456</v>
      </c>
      <c r="G111" s="8"/>
      <c r="H111" s="8" t="s">
        <v>6</v>
      </c>
      <c r="I111" s="8"/>
      <c r="J111" s="9"/>
      <c r="K111" s="8"/>
    </row>
    <row r="112" customFormat="false" ht="15" hidden="false" customHeight="false" outlineLevel="0" collapsed="false">
      <c r="A112" s="8" t="s">
        <v>457</v>
      </c>
      <c r="B112" s="8" t="s">
        <v>13</v>
      </c>
      <c r="C112" s="8" t="s">
        <v>429</v>
      </c>
      <c r="D112" s="8" t="s">
        <v>167</v>
      </c>
      <c r="E112" s="8" t="s">
        <v>458</v>
      </c>
      <c r="F112" s="8" t="s">
        <v>459</v>
      </c>
      <c r="G112" s="8" t="s">
        <v>460</v>
      </c>
      <c r="H112" s="8" t="s">
        <v>6</v>
      </c>
      <c r="I112" s="8"/>
      <c r="J112" s="9"/>
      <c r="K112" s="8"/>
    </row>
    <row r="113" customFormat="false" ht="15" hidden="false" customHeight="false" outlineLevel="0" collapsed="false">
      <c r="A113" s="8" t="s">
        <v>461</v>
      </c>
      <c r="B113" s="8" t="s">
        <v>13</v>
      </c>
      <c r="C113" s="8" t="s">
        <v>429</v>
      </c>
      <c r="D113" s="8" t="s">
        <v>167</v>
      </c>
      <c r="E113" s="8" t="s">
        <v>462</v>
      </c>
      <c r="F113" s="8" t="s">
        <v>463</v>
      </c>
      <c r="G113" s="8" t="s">
        <v>464</v>
      </c>
      <c r="H113" s="8" t="s">
        <v>6</v>
      </c>
      <c r="I113" s="8"/>
      <c r="J113" s="9"/>
      <c r="K113" s="8"/>
    </row>
    <row r="114" customFormat="false" ht="28.35" hidden="false" customHeight="false" outlineLevel="0" collapsed="false">
      <c r="A114" s="8" t="s">
        <v>465</v>
      </c>
      <c r="B114" s="8" t="s">
        <v>13</v>
      </c>
      <c r="C114" s="8" t="s">
        <v>429</v>
      </c>
      <c r="D114" s="8" t="s">
        <v>167</v>
      </c>
      <c r="E114" s="8" t="s">
        <v>466</v>
      </c>
      <c r="F114" s="8" t="s">
        <v>467</v>
      </c>
      <c r="G114" s="8" t="s">
        <v>468</v>
      </c>
      <c r="H114" s="8" t="s">
        <v>6</v>
      </c>
      <c r="I114" s="8"/>
      <c r="J114" s="9"/>
      <c r="K114" s="8"/>
    </row>
    <row r="115" customFormat="false" ht="15" hidden="false" customHeight="false" outlineLevel="0" collapsed="false">
      <c r="A115" s="8" t="s">
        <v>469</v>
      </c>
      <c r="B115" s="8" t="s">
        <v>13</v>
      </c>
      <c r="C115" s="8" t="s">
        <v>429</v>
      </c>
      <c r="D115" s="8" t="s">
        <v>167</v>
      </c>
      <c r="E115" s="8" t="s">
        <v>470</v>
      </c>
      <c r="F115" s="8" t="s">
        <v>471</v>
      </c>
      <c r="G115" s="8" t="s">
        <v>472</v>
      </c>
      <c r="H115" s="8" t="s">
        <v>6</v>
      </c>
      <c r="I115" s="8"/>
      <c r="J115" s="9"/>
      <c r="K115" s="8"/>
    </row>
    <row r="116" customFormat="false" ht="28.35" hidden="false" customHeight="false" outlineLevel="0" collapsed="false">
      <c r="A116" s="8" t="s">
        <v>473</v>
      </c>
      <c r="B116" s="8" t="s">
        <v>14</v>
      </c>
      <c r="C116" s="8" t="s">
        <v>474</v>
      </c>
      <c r="D116" s="8" t="s">
        <v>167</v>
      </c>
      <c r="E116" s="8" t="s">
        <v>475</v>
      </c>
      <c r="F116" s="8" t="s">
        <v>476</v>
      </c>
      <c r="G116" s="8" t="s">
        <v>110</v>
      </c>
      <c r="H116" s="8" t="s">
        <v>6</v>
      </c>
      <c r="I116" s="8"/>
      <c r="J116" s="9"/>
      <c r="K116" s="8"/>
    </row>
    <row r="117" customFormat="false" ht="28.35" hidden="false" customHeight="false" outlineLevel="0" collapsed="false">
      <c r="A117" s="8" t="s">
        <v>477</v>
      </c>
      <c r="B117" s="8" t="s">
        <v>14</v>
      </c>
      <c r="C117" s="8" t="s">
        <v>474</v>
      </c>
      <c r="D117" s="8" t="s">
        <v>167</v>
      </c>
      <c r="E117" s="8" t="s">
        <v>478</v>
      </c>
      <c r="F117" s="8" t="s">
        <v>217</v>
      </c>
      <c r="G117" s="8" t="s">
        <v>479</v>
      </c>
      <c r="H117" s="8" t="s">
        <v>6</v>
      </c>
      <c r="I117" s="8"/>
      <c r="J117" s="9"/>
      <c r="K117" s="8"/>
    </row>
    <row r="118" customFormat="false" ht="28.35" hidden="false" customHeight="false" outlineLevel="0" collapsed="false">
      <c r="A118" s="8" t="s">
        <v>480</v>
      </c>
      <c r="B118" s="8" t="s">
        <v>14</v>
      </c>
      <c r="C118" s="8" t="s">
        <v>474</v>
      </c>
      <c r="D118" s="8" t="s">
        <v>167</v>
      </c>
      <c r="E118" s="8" t="s">
        <v>481</v>
      </c>
      <c r="F118" s="8" t="s">
        <v>482</v>
      </c>
      <c r="G118" s="8" t="s">
        <v>479</v>
      </c>
      <c r="H118" s="8" t="s">
        <v>6</v>
      </c>
      <c r="I118" s="8"/>
      <c r="J118" s="9"/>
      <c r="K118" s="8"/>
    </row>
    <row r="119" customFormat="false" ht="28.35" hidden="false" customHeight="false" outlineLevel="0" collapsed="false">
      <c r="A119" s="8" t="s">
        <v>483</v>
      </c>
      <c r="B119" s="8" t="s">
        <v>14</v>
      </c>
      <c r="C119" s="8" t="s">
        <v>474</v>
      </c>
      <c r="D119" s="8" t="s">
        <v>167</v>
      </c>
      <c r="E119" s="8" t="s">
        <v>484</v>
      </c>
      <c r="F119" s="8" t="s">
        <v>485</v>
      </c>
      <c r="G119" s="8" t="s">
        <v>486</v>
      </c>
      <c r="H119" s="8" t="s">
        <v>6</v>
      </c>
      <c r="I119" s="8"/>
      <c r="J119" s="9"/>
      <c r="K119" s="8"/>
    </row>
    <row r="120" customFormat="false" ht="28.35" hidden="false" customHeight="false" outlineLevel="0" collapsed="false">
      <c r="A120" s="8" t="s">
        <v>487</v>
      </c>
      <c r="B120" s="8" t="s">
        <v>14</v>
      </c>
      <c r="C120" s="8" t="s">
        <v>474</v>
      </c>
      <c r="D120" s="8" t="s">
        <v>167</v>
      </c>
      <c r="E120" s="8" t="s">
        <v>488</v>
      </c>
      <c r="F120" s="8" t="s">
        <v>489</v>
      </c>
      <c r="G120" s="8" t="s">
        <v>490</v>
      </c>
      <c r="H120" s="8" t="s">
        <v>6</v>
      </c>
      <c r="I120" s="8"/>
      <c r="J120" s="9"/>
      <c r="K120" s="8"/>
    </row>
    <row r="121" customFormat="false" ht="28.35" hidden="false" customHeight="false" outlineLevel="0" collapsed="false">
      <c r="A121" s="8" t="s">
        <v>491</v>
      </c>
      <c r="B121" s="8" t="s">
        <v>14</v>
      </c>
      <c r="C121" s="8" t="s">
        <v>474</v>
      </c>
      <c r="D121" s="8" t="s">
        <v>167</v>
      </c>
      <c r="E121" s="8" t="s">
        <v>492</v>
      </c>
      <c r="F121" s="8" t="s">
        <v>493</v>
      </c>
      <c r="G121" s="8"/>
      <c r="H121" s="8" t="s">
        <v>6</v>
      </c>
      <c r="I121" s="8"/>
      <c r="J121" s="9"/>
      <c r="K121" s="8"/>
    </row>
    <row r="122" customFormat="false" ht="28.35" hidden="false" customHeight="false" outlineLevel="0" collapsed="false">
      <c r="A122" s="8" t="s">
        <v>494</v>
      </c>
      <c r="B122" s="8" t="s">
        <v>14</v>
      </c>
      <c r="C122" s="8" t="s">
        <v>474</v>
      </c>
      <c r="D122" s="8" t="s">
        <v>167</v>
      </c>
      <c r="E122" s="8" t="s">
        <v>495</v>
      </c>
      <c r="F122" s="8" t="s">
        <v>217</v>
      </c>
      <c r="G122" s="8" t="s">
        <v>382</v>
      </c>
      <c r="H122" s="8" t="s">
        <v>6</v>
      </c>
      <c r="I122" s="8"/>
      <c r="J122" s="9"/>
      <c r="K122" s="8"/>
    </row>
    <row r="123" customFormat="false" ht="28.35" hidden="false" customHeight="false" outlineLevel="0" collapsed="false">
      <c r="A123" s="8" t="s">
        <v>496</v>
      </c>
      <c r="B123" s="8" t="s">
        <v>14</v>
      </c>
      <c r="C123" s="8" t="s">
        <v>474</v>
      </c>
      <c r="D123" s="8" t="s">
        <v>167</v>
      </c>
      <c r="E123" s="8" t="s">
        <v>497</v>
      </c>
      <c r="F123" s="8" t="s">
        <v>498</v>
      </c>
      <c r="G123" s="8" t="s">
        <v>499</v>
      </c>
      <c r="H123" s="8" t="s">
        <v>6</v>
      </c>
      <c r="I123" s="8"/>
      <c r="J123" s="9"/>
      <c r="K123" s="8"/>
    </row>
    <row r="124" customFormat="false" ht="28.35" hidden="false" customHeight="false" outlineLevel="0" collapsed="false">
      <c r="A124" s="8" t="s">
        <v>500</v>
      </c>
      <c r="B124" s="8" t="s">
        <v>14</v>
      </c>
      <c r="C124" s="8" t="s">
        <v>474</v>
      </c>
      <c r="D124" s="8" t="s">
        <v>167</v>
      </c>
      <c r="E124" s="8" t="s">
        <v>501</v>
      </c>
      <c r="F124" s="8" t="s">
        <v>502</v>
      </c>
      <c r="G124" s="8" t="s">
        <v>503</v>
      </c>
      <c r="H124" s="8" t="s">
        <v>6</v>
      </c>
      <c r="I124" s="8"/>
      <c r="J124" s="9"/>
      <c r="K124" s="8"/>
    </row>
    <row r="125" customFormat="false" ht="28.35" hidden="false" customHeight="false" outlineLevel="0" collapsed="false">
      <c r="A125" s="8" t="s">
        <v>504</v>
      </c>
      <c r="B125" s="8" t="s">
        <v>14</v>
      </c>
      <c r="C125" s="8" t="s">
        <v>474</v>
      </c>
      <c r="D125" s="8" t="s">
        <v>167</v>
      </c>
      <c r="E125" s="8" t="s">
        <v>505</v>
      </c>
      <c r="F125" s="8" t="s">
        <v>506</v>
      </c>
      <c r="G125" s="8" t="s">
        <v>503</v>
      </c>
      <c r="H125" s="8" t="s">
        <v>6</v>
      </c>
      <c r="I125" s="8"/>
      <c r="J125" s="9"/>
      <c r="K125" s="8"/>
    </row>
    <row r="126" customFormat="false" ht="28.35" hidden="false" customHeight="false" outlineLevel="0" collapsed="false">
      <c r="A126" s="8" t="s">
        <v>507</v>
      </c>
      <c r="B126" s="8" t="s">
        <v>14</v>
      </c>
      <c r="C126" s="8" t="s">
        <v>474</v>
      </c>
      <c r="D126" s="8" t="s">
        <v>167</v>
      </c>
      <c r="E126" s="8" t="s">
        <v>508</v>
      </c>
      <c r="F126" s="8" t="s">
        <v>509</v>
      </c>
      <c r="G126" s="8" t="s">
        <v>503</v>
      </c>
      <c r="H126" s="8" t="s">
        <v>6</v>
      </c>
      <c r="I126" s="8"/>
      <c r="J126" s="9"/>
      <c r="K126" s="8"/>
    </row>
    <row r="127" customFormat="false" ht="28.35" hidden="false" customHeight="false" outlineLevel="0" collapsed="false">
      <c r="A127" s="8" t="s">
        <v>510</v>
      </c>
      <c r="B127" s="8" t="s">
        <v>14</v>
      </c>
      <c r="C127" s="8" t="s">
        <v>474</v>
      </c>
      <c r="D127" s="8" t="s">
        <v>167</v>
      </c>
      <c r="E127" s="8" t="s">
        <v>511</v>
      </c>
      <c r="F127" s="8" t="s">
        <v>512</v>
      </c>
      <c r="G127" s="8"/>
      <c r="H127" s="8" t="s">
        <v>6</v>
      </c>
      <c r="I127" s="8"/>
      <c r="J127" s="9"/>
      <c r="K127" s="8"/>
    </row>
    <row r="128" customFormat="false" ht="28.35" hidden="false" customHeight="false" outlineLevel="0" collapsed="false">
      <c r="A128" s="8" t="s">
        <v>513</v>
      </c>
      <c r="B128" s="8" t="s">
        <v>14</v>
      </c>
      <c r="C128" s="8" t="s">
        <v>474</v>
      </c>
      <c r="D128" s="8" t="s">
        <v>167</v>
      </c>
      <c r="E128" s="8" t="s">
        <v>514</v>
      </c>
      <c r="F128" s="8" t="s">
        <v>515</v>
      </c>
      <c r="G128" s="8" t="s">
        <v>424</v>
      </c>
      <c r="H128" s="8" t="s">
        <v>6</v>
      </c>
      <c r="I128" s="8"/>
      <c r="J128" s="9"/>
      <c r="K128" s="8"/>
    </row>
    <row r="129" customFormat="false" ht="15" hidden="false" customHeight="false" outlineLevel="0" collapsed="false">
      <c r="A129" s="8" t="s">
        <v>516</v>
      </c>
      <c r="B129" s="8" t="s">
        <v>15</v>
      </c>
      <c r="C129" s="8" t="s">
        <v>517</v>
      </c>
      <c r="D129" s="8" t="s">
        <v>78</v>
      </c>
      <c r="E129" s="8" t="s">
        <v>518</v>
      </c>
      <c r="F129" s="8" t="s">
        <v>519</v>
      </c>
      <c r="G129" s="8"/>
      <c r="H129" s="8" t="s">
        <v>6</v>
      </c>
      <c r="I129" s="8"/>
      <c r="J129" s="9"/>
      <c r="K129" s="8"/>
    </row>
    <row r="130" customFormat="false" ht="28.35" hidden="false" customHeight="false" outlineLevel="0" collapsed="false">
      <c r="A130" s="8" t="s">
        <v>520</v>
      </c>
      <c r="B130" s="8" t="s">
        <v>15</v>
      </c>
      <c r="C130" s="8" t="s">
        <v>517</v>
      </c>
      <c r="D130" s="8" t="s">
        <v>167</v>
      </c>
      <c r="E130" s="8" t="s">
        <v>521</v>
      </c>
      <c r="F130" s="8" t="s">
        <v>522</v>
      </c>
      <c r="G130" s="8" t="s">
        <v>523</v>
      </c>
      <c r="H130" s="8" t="s">
        <v>6</v>
      </c>
      <c r="I130" s="8"/>
      <c r="J130" s="9"/>
      <c r="K130" s="8"/>
    </row>
    <row r="131" customFormat="false" ht="15" hidden="false" customHeight="false" outlineLevel="0" collapsed="false">
      <c r="A131" s="8" t="s">
        <v>524</v>
      </c>
      <c r="B131" s="8" t="s">
        <v>15</v>
      </c>
      <c r="C131" s="8" t="s">
        <v>517</v>
      </c>
      <c r="D131" s="8" t="s">
        <v>167</v>
      </c>
      <c r="E131" s="8" t="s">
        <v>525</v>
      </c>
      <c r="F131" s="8" t="s">
        <v>526</v>
      </c>
      <c r="G131" s="8"/>
      <c r="H131" s="8" t="s">
        <v>6</v>
      </c>
      <c r="I131" s="8"/>
      <c r="J131" s="9"/>
      <c r="K131" s="8"/>
    </row>
    <row r="132" customFormat="false" ht="15" hidden="false" customHeight="false" outlineLevel="0" collapsed="false">
      <c r="A132" s="8" t="s">
        <v>527</v>
      </c>
      <c r="B132" s="8" t="s">
        <v>15</v>
      </c>
      <c r="C132" s="8" t="s">
        <v>517</v>
      </c>
      <c r="D132" s="8" t="s">
        <v>167</v>
      </c>
      <c r="E132" s="8" t="s">
        <v>528</v>
      </c>
      <c r="F132" s="8" t="s">
        <v>529</v>
      </c>
      <c r="G132" s="8" t="s">
        <v>530</v>
      </c>
      <c r="H132" s="8" t="s">
        <v>6</v>
      </c>
      <c r="I132" s="8"/>
      <c r="J132" s="9"/>
      <c r="K132" s="8"/>
    </row>
    <row r="133" customFormat="false" ht="28.35" hidden="false" customHeight="false" outlineLevel="0" collapsed="false">
      <c r="A133" s="8" t="s">
        <v>531</v>
      </c>
      <c r="B133" s="8" t="s">
        <v>15</v>
      </c>
      <c r="C133" s="8" t="s">
        <v>532</v>
      </c>
      <c r="D133" s="8" t="s">
        <v>167</v>
      </c>
      <c r="E133" s="8" t="s">
        <v>533</v>
      </c>
      <c r="F133" s="8" t="s">
        <v>534</v>
      </c>
      <c r="G133" s="8" t="s">
        <v>535</v>
      </c>
      <c r="H133" s="8" t="s">
        <v>6</v>
      </c>
      <c r="I133" s="8"/>
      <c r="J133" s="9"/>
      <c r="K133" s="8"/>
    </row>
    <row r="134" customFormat="false" ht="15" hidden="false" customHeight="false" outlineLevel="0" collapsed="false">
      <c r="A134" s="8" t="s">
        <v>536</v>
      </c>
      <c r="B134" s="8" t="s">
        <v>15</v>
      </c>
      <c r="C134" s="8" t="s">
        <v>532</v>
      </c>
      <c r="D134" s="8" t="s">
        <v>167</v>
      </c>
      <c r="E134" s="8" t="s">
        <v>537</v>
      </c>
      <c r="F134" s="8" t="s">
        <v>538</v>
      </c>
      <c r="G134" s="8" t="s">
        <v>97</v>
      </c>
      <c r="H134" s="8" t="s">
        <v>6</v>
      </c>
      <c r="I134" s="8"/>
      <c r="J134" s="9"/>
      <c r="K134" s="8"/>
    </row>
    <row r="135" customFormat="false" ht="28.35" hidden="false" customHeight="false" outlineLevel="0" collapsed="false">
      <c r="A135" s="8" t="s">
        <v>539</v>
      </c>
      <c r="B135" s="8" t="s">
        <v>15</v>
      </c>
      <c r="C135" s="8" t="s">
        <v>532</v>
      </c>
      <c r="D135" s="8" t="s">
        <v>167</v>
      </c>
      <c r="E135" s="8" t="s">
        <v>540</v>
      </c>
      <c r="F135" s="8" t="s">
        <v>541</v>
      </c>
      <c r="G135" s="8" t="s">
        <v>542</v>
      </c>
      <c r="H135" s="8" t="s">
        <v>6</v>
      </c>
      <c r="I135" s="8"/>
      <c r="J135" s="9"/>
      <c r="K135" s="8"/>
    </row>
    <row r="136" customFormat="false" ht="15" hidden="false" customHeight="false" outlineLevel="0" collapsed="false">
      <c r="A136" s="8" t="s">
        <v>543</v>
      </c>
      <c r="B136" s="8" t="s">
        <v>15</v>
      </c>
      <c r="C136" s="8" t="s">
        <v>532</v>
      </c>
      <c r="D136" s="8" t="s">
        <v>167</v>
      </c>
      <c r="E136" s="8" t="s">
        <v>544</v>
      </c>
      <c r="F136" s="8" t="s">
        <v>545</v>
      </c>
      <c r="G136" s="8" t="s">
        <v>546</v>
      </c>
      <c r="H136" s="8" t="s">
        <v>6</v>
      </c>
      <c r="I136" s="8"/>
      <c r="J136" s="9"/>
      <c r="K136" s="8"/>
    </row>
    <row r="137" customFormat="false" ht="15" hidden="false" customHeight="false" outlineLevel="0" collapsed="false">
      <c r="A137" s="8" t="s">
        <v>547</v>
      </c>
      <c r="B137" s="8" t="s">
        <v>15</v>
      </c>
      <c r="C137" s="8" t="s">
        <v>532</v>
      </c>
      <c r="D137" s="8" t="s">
        <v>167</v>
      </c>
      <c r="E137" s="8" t="s">
        <v>548</v>
      </c>
      <c r="F137" s="8" t="s">
        <v>549</v>
      </c>
      <c r="G137" s="8" t="s">
        <v>550</v>
      </c>
      <c r="H137" s="8" t="s">
        <v>6</v>
      </c>
      <c r="I137" s="8"/>
      <c r="J137" s="9"/>
      <c r="K137" s="8"/>
    </row>
    <row r="138" customFormat="false" ht="15" hidden="false" customHeight="false" outlineLevel="0" collapsed="false">
      <c r="A138" s="8" t="s">
        <v>551</v>
      </c>
      <c r="B138" s="8" t="s">
        <v>15</v>
      </c>
      <c r="C138" s="8" t="s">
        <v>532</v>
      </c>
      <c r="D138" s="8" t="s">
        <v>167</v>
      </c>
      <c r="E138" s="8" t="s">
        <v>552</v>
      </c>
      <c r="F138" s="8" t="s">
        <v>553</v>
      </c>
      <c r="G138" s="8" t="s">
        <v>554</v>
      </c>
      <c r="H138" s="8" t="s">
        <v>6</v>
      </c>
      <c r="I138" s="8"/>
      <c r="J138" s="9"/>
      <c r="K138" s="8"/>
    </row>
    <row r="139" customFormat="false" ht="28.35" hidden="false" customHeight="false" outlineLevel="0" collapsed="false">
      <c r="A139" s="8" t="s">
        <v>555</v>
      </c>
      <c r="B139" s="8" t="s">
        <v>15</v>
      </c>
      <c r="C139" s="8" t="s">
        <v>532</v>
      </c>
      <c r="D139" s="8" t="s">
        <v>167</v>
      </c>
      <c r="E139" s="8" t="s">
        <v>556</v>
      </c>
      <c r="F139" s="8" t="s">
        <v>557</v>
      </c>
      <c r="G139" s="8" t="s">
        <v>558</v>
      </c>
      <c r="H139" s="8" t="s">
        <v>6</v>
      </c>
      <c r="I139" s="8"/>
      <c r="J139" s="9"/>
      <c r="K139" s="8"/>
    </row>
    <row r="140" customFormat="false" ht="15" hidden="false" customHeight="false" outlineLevel="0" collapsed="false">
      <c r="A140" s="8" t="s">
        <v>559</v>
      </c>
      <c r="B140" s="8" t="s">
        <v>15</v>
      </c>
      <c r="C140" s="8" t="s">
        <v>532</v>
      </c>
      <c r="D140" s="8" t="s">
        <v>167</v>
      </c>
      <c r="E140" s="8" t="s">
        <v>560</v>
      </c>
      <c r="F140" s="8" t="s">
        <v>561</v>
      </c>
      <c r="G140" s="8" t="s">
        <v>562</v>
      </c>
      <c r="H140" s="8" t="s">
        <v>6</v>
      </c>
      <c r="I140" s="8"/>
      <c r="J140" s="9"/>
      <c r="K140" s="8"/>
    </row>
    <row r="141" customFormat="false" ht="15" hidden="false" customHeight="false" outlineLevel="0" collapsed="false">
      <c r="A141" s="8" t="s">
        <v>563</v>
      </c>
      <c r="B141" s="8" t="s">
        <v>15</v>
      </c>
      <c r="C141" s="8" t="s">
        <v>532</v>
      </c>
      <c r="D141" s="8" t="s">
        <v>167</v>
      </c>
      <c r="E141" s="8" t="s">
        <v>564</v>
      </c>
      <c r="F141" s="8" t="s">
        <v>565</v>
      </c>
      <c r="G141" s="8" t="s">
        <v>566</v>
      </c>
      <c r="H141" s="8" t="s">
        <v>6</v>
      </c>
      <c r="I141" s="8"/>
      <c r="J141" s="9"/>
      <c r="K141" s="8"/>
    </row>
    <row r="142" customFormat="false" ht="15" hidden="false" customHeight="false" outlineLevel="0" collapsed="false">
      <c r="A142" s="8" t="s">
        <v>567</v>
      </c>
      <c r="B142" s="8" t="s">
        <v>15</v>
      </c>
      <c r="C142" s="8" t="s">
        <v>532</v>
      </c>
      <c r="D142" s="8" t="s">
        <v>167</v>
      </c>
      <c r="E142" s="8" t="s">
        <v>568</v>
      </c>
      <c r="F142" s="8" t="s">
        <v>569</v>
      </c>
      <c r="G142" s="8" t="s">
        <v>570</v>
      </c>
      <c r="H142" s="8" t="s">
        <v>6</v>
      </c>
      <c r="I142" s="8"/>
      <c r="J142" s="9"/>
      <c r="K142" s="8"/>
    </row>
    <row r="143" customFormat="false" ht="15" hidden="false" customHeight="false" outlineLevel="0" collapsed="false">
      <c r="A143" s="8" t="s">
        <v>571</v>
      </c>
      <c r="B143" s="8" t="s">
        <v>15</v>
      </c>
      <c r="C143" s="8" t="s">
        <v>532</v>
      </c>
      <c r="D143" s="8" t="s">
        <v>167</v>
      </c>
      <c r="E143" s="8" t="s">
        <v>572</v>
      </c>
      <c r="F143" s="8" t="s">
        <v>573</v>
      </c>
      <c r="G143" s="8" t="s">
        <v>574</v>
      </c>
      <c r="H143" s="8" t="s">
        <v>6</v>
      </c>
      <c r="I143" s="8"/>
      <c r="J143" s="9"/>
      <c r="K143" s="8"/>
    </row>
    <row r="144" customFormat="false" ht="15" hidden="false" customHeight="false" outlineLevel="0" collapsed="false">
      <c r="A144" s="8" t="s">
        <v>575</v>
      </c>
      <c r="B144" s="8" t="s">
        <v>15</v>
      </c>
      <c r="C144" s="8" t="s">
        <v>532</v>
      </c>
      <c r="D144" s="8" t="s">
        <v>167</v>
      </c>
      <c r="E144" s="8" t="s">
        <v>576</v>
      </c>
      <c r="F144" s="8" t="s">
        <v>577</v>
      </c>
      <c r="G144" s="8" t="s">
        <v>578</v>
      </c>
      <c r="H144" s="8" t="s">
        <v>6</v>
      </c>
      <c r="I144" s="8"/>
      <c r="J144" s="9"/>
      <c r="K144" s="8"/>
    </row>
    <row r="145" customFormat="false" ht="15" hidden="false" customHeight="false" outlineLevel="0" collapsed="false">
      <c r="A145" s="8" t="s">
        <v>579</v>
      </c>
      <c r="B145" s="8" t="s">
        <v>16</v>
      </c>
      <c r="C145" s="8" t="s">
        <v>580</v>
      </c>
      <c r="D145" s="8" t="s">
        <v>167</v>
      </c>
      <c r="E145" s="8" t="s">
        <v>581</v>
      </c>
      <c r="F145" s="8" t="s">
        <v>582</v>
      </c>
      <c r="G145" s="8" t="s">
        <v>583</v>
      </c>
      <c r="H145" s="8" t="s">
        <v>6</v>
      </c>
      <c r="I145" s="8"/>
      <c r="J145" s="9"/>
      <c r="K145" s="8"/>
    </row>
    <row r="146" customFormat="false" ht="15" hidden="false" customHeight="false" outlineLevel="0" collapsed="false">
      <c r="A146" s="8" t="s">
        <v>584</v>
      </c>
      <c r="B146" s="8" t="s">
        <v>16</v>
      </c>
      <c r="C146" s="8" t="s">
        <v>580</v>
      </c>
      <c r="D146" s="8" t="s">
        <v>167</v>
      </c>
      <c r="E146" s="8" t="s">
        <v>585</v>
      </c>
      <c r="F146" s="8" t="s">
        <v>586</v>
      </c>
      <c r="G146" s="8" t="s">
        <v>583</v>
      </c>
      <c r="H146" s="8" t="s">
        <v>6</v>
      </c>
      <c r="I146" s="8"/>
      <c r="J146" s="9"/>
      <c r="K146" s="8"/>
    </row>
    <row r="147" customFormat="false" ht="15" hidden="false" customHeight="false" outlineLevel="0" collapsed="false">
      <c r="A147" s="8" t="s">
        <v>587</v>
      </c>
      <c r="B147" s="8" t="s">
        <v>16</v>
      </c>
      <c r="C147" s="8" t="s">
        <v>580</v>
      </c>
      <c r="D147" s="8" t="s">
        <v>167</v>
      </c>
      <c r="E147" s="8" t="s">
        <v>588</v>
      </c>
      <c r="F147" s="8" t="s">
        <v>246</v>
      </c>
      <c r="G147" s="8" t="s">
        <v>583</v>
      </c>
      <c r="H147" s="8" t="s">
        <v>6</v>
      </c>
      <c r="I147" s="8"/>
      <c r="J147" s="9"/>
      <c r="K147" s="8"/>
    </row>
    <row r="148" customFormat="false" ht="15" hidden="false" customHeight="false" outlineLevel="0" collapsed="false">
      <c r="A148" s="8" t="s">
        <v>589</v>
      </c>
      <c r="B148" s="8" t="s">
        <v>16</v>
      </c>
      <c r="C148" s="8" t="s">
        <v>580</v>
      </c>
      <c r="D148" s="8" t="s">
        <v>167</v>
      </c>
      <c r="E148" s="8" t="s">
        <v>590</v>
      </c>
      <c r="F148" s="8" t="s">
        <v>591</v>
      </c>
      <c r="G148" s="8" t="s">
        <v>583</v>
      </c>
      <c r="H148" s="8" t="s">
        <v>6</v>
      </c>
      <c r="I148" s="8"/>
      <c r="J148" s="9"/>
      <c r="K148" s="8"/>
    </row>
    <row r="149" customFormat="false" ht="15" hidden="false" customHeight="false" outlineLevel="0" collapsed="false">
      <c r="A149" s="8" t="s">
        <v>592</v>
      </c>
      <c r="B149" s="8" t="s">
        <v>16</v>
      </c>
      <c r="C149" s="8" t="s">
        <v>580</v>
      </c>
      <c r="D149" s="8" t="s">
        <v>167</v>
      </c>
      <c r="E149" s="8" t="s">
        <v>593</v>
      </c>
      <c r="F149" s="8" t="s">
        <v>246</v>
      </c>
      <c r="G149" s="8" t="s">
        <v>594</v>
      </c>
      <c r="H149" s="8" t="s">
        <v>6</v>
      </c>
      <c r="I149" s="8"/>
      <c r="J149" s="9"/>
      <c r="K149" s="8"/>
    </row>
    <row r="150" customFormat="false" ht="15" hidden="false" customHeight="false" outlineLevel="0" collapsed="false">
      <c r="A150" s="8" t="s">
        <v>595</v>
      </c>
      <c r="B150" s="8" t="s">
        <v>16</v>
      </c>
      <c r="C150" s="8" t="s">
        <v>580</v>
      </c>
      <c r="D150" s="8" t="s">
        <v>167</v>
      </c>
      <c r="E150" s="8" t="s">
        <v>596</v>
      </c>
      <c r="F150" s="8" t="s">
        <v>597</v>
      </c>
      <c r="G150" s="8" t="s">
        <v>594</v>
      </c>
      <c r="H150" s="8" t="s">
        <v>6</v>
      </c>
      <c r="I150" s="8"/>
      <c r="J150" s="9"/>
      <c r="K150" s="8"/>
    </row>
    <row r="151" customFormat="false" ht="15" hidden="false" customHeight="false" outlineLevel="0" collapsed="false">
      <c r="A151" s="8" t="s">
        <v>598</v>
      </c>
      <c r="B151" s="8" t="s">
        <v>16</v>
      </c>
      <c r="C151" s="8" t="s">
        <v>580</v>
      </c>
      <c r="D151" s="8" t="s">
        <v>167</v>
      </c>
      <c r="E151" s="8" t="s">
        <v>599</v>
      </c>
      <c r="F151" s="8" t="s">
        <v>600</v>
      </c>
      <c r="G151" s="8" t="s">
        <v>594</v>
      </c>
      <c r="H151" s="8" t="s">
        <v>6</v>
      </c>
      <c r="I151" s="8"/>
      <c r="J151" s="9"/>
      <c r="K151" s="8"/>
    </row>
    <row r="152" customFormat="false" ht="28.35" hidden="false" customHeight="false" outlineLevel="0" collapsed="false">
      <c r="A152" s="8" t="s">
        <v>601</v>
      </c>
      <c r="B152" s="8" t="s">
        <v>16</v>
      </c>
      <c r="C152" s="8" t="s">
        <v>580</v>
      </c>
      <c r="D152" s="8" t="s">
        <v>167</v>
      </c>
      <c r="E152" s="8" t="s">
        <v>602</v>
      </c>
      <c r="F152" s="8" t="s">
        <v>603</v>
      </c>
      <c r="G152" s="8"/>
      <c r="H152" s="8" t="s">
        <v>6</v>
      </c>
      <c r="I152" s="8"/>
      <c r="J152" s="9"/>
      <c r="K152" s="8"/>
    </row>
    <row r="153" customFormat="false" ht="15" hidden="false" customHeight="false" outlineLevel="0" collapsed="false">
      <c r="A153" s="8" t="s">
        <v>604</v>
      </c>
      <c r="B153" s="8" t="s">
        <v>16</v>
      </c>
      <c r="C153" s="8" t="s">
        <v>580</v>
      </c>
      <c r="D153" s="8" t="s">
        <v>167</v>
      </c>
      <c r="E153" s="8" t="s">
        <v>605</v>
      </c>
      <c r="F153" s="8" t="s">
        <v>606</v>
      </c>
      <c r="G153" s="8"/>
      <c r="H153" s="8" t="s">
        <v>6</v>
      </c>
      <c r="I153" s="8"/>
      <c r="J153" s="9"/>
      <c r="K153" s="8"/>
    </row>
    <row r="154" customFormat="false" ht="15" hidden="false" customHeight="false" outlineLevel="0" collapsed="false">
      <c r="A154" s="8" t="s">
        <v>607</v>
      </c>
      <c r="B154" s="8" t="s">
        <v>16</v>
      </c>
      <c r="C154" s="8" t="s">
        <v>580</v>
      </c>
      <c r="D154" s="8" t="s">
        <v>167</v>
      </c>
      <c r="E154" s="8" t="s">
        <v>608</v>
      </c>
      <c r="F154" s="8" t="s">
        <v>609</v>
      </c>
      <c r="G154" s="8" t="s">
        <v>610</v>
      </c>
      <c r="H154" s="8" t="s">
        <v>6</v>
      </c>
      <c r="I154" s="8"/>
      <c r="J154" s="9"/>
      <c r="K154" s="8"/>
    </row>
    <row r="155" customFormat="false" ht="15" hidden="false" customHeight="false" outlineLevel="0" collapsed="false">
      <c r="A155" s="8" t="s">
        <v>611</v>
      </c>
      <c r="B155" s="8" t="s">
        <v>16</v>
      </c>
      <c r="C155" s="8" t="s">
        <v>580</v>
      </c>
      <c r="D155" s="8" t="s">
        <v>167</v>
      </c>
      <c r="E155" s="8" t="s">
        <v>612</v>
      </c>
      <c r="F155" s="8" t="s">
        <v>613</v>
      </c>
      <c r="G155" s="8" t="s">
        <v>105</v>
      </c>
      <c r="H155" s="8" t="s">
        <v>6</v>
      </c>
      <c r="I155" s="8"/>
      <c r="J155" s="9"/>
      <c r="K155" s="8"/>
    </row>
    <row r="156" customFormat="false" ht="28.35" hidden="false" customHeight="false" outlineLevel="0" collapsed="false">
      <c r="A156" s="8" t="s">
        <v>614</v>
      </c>
      <c r="B156" s="8" t="s">
        <v>17</v>
      </c>
      <c r="C156" s="8" t="s">
        <v>615</v>
      </c>
      <c r="D156" s="8" t="s">
        <v>78</v>
      </c>
      <c r="E156" s="8" t="s">
        <v>616</v>
      </c>
      <c r="F156" s="8" t="s">
        <v>617</v>
      </c>
      <c r="G156" s="8" t="s">
        <v>618</v>
      </c>
      <c r="H156" s="8" t="s">
        <v>6</v>
      </c>
      <c r="I156" s="8"/>
      <c r="J156" s="9"/>
      <c r="K156" s="8"/>
    </row>
    <row r="157" customFormat="false" ht="28.35" hidden="false" customHeight="false" outlineLevel="0" collapsed="false">
      <c r="A157" s="8" t="s">
        <v>619</v>
      </c>
      <c r="B157" s="8" t="s">
        <v>17</v>
      </c>
      <c r="C157" s="8" t="s">
        <v>615</v>
      </c>
      <c r="D157" s="8" t="s">
        <v>78</v>
      </c>
      <c r="E157" s="8" t="s">
        <v>620</v>
      </c>
      <c r="F157" s="8" t="s">
        <v>621</v>
      </c>
      <c r="G157" s="8" t="s">
        <v>618</v>
      </c>
      <c r="H157" s="8" t="s">
        <v>6</v>
      </c>
      <c r="I157" s="8"/>
      <c r="J157" s="9"/>
      <c r="K157" s="8"/>
    </row>
    <row r="158" customFormat="false" ht="28.35" hidden="false" customHeight="false" outlineLevel="0" collapsed="false">
      <c r="A158" s="8" t="s">
        <v>622</v>
      </c>
      <c r="B158" s="8" t="s">
        <v>17</v>
      </c>
      <c r="C158" s="8" t="s">
        <v>615</v>
      </c>
      <c r="D158" s="8" t="s">
        <v>167</v>
      </c>
      <c r="E158" s="8" t="s">
        <v>623</v>
      </c>
      <c r="F158" s="8" t="s">
        <v>624</v>
      </c>
      <c r="G158" s="8" t="s">
        <v>618</v>
      </c>
      <c r="H158" s="8" t="s">
        <v>6</v>
      </c>
      <c r="I158" s="8"/>
      <c r="J158" s="9"/>
      <c r="K158" s="8"/>
    </row>
    <row r="159" customFormat="false" ht="28.35" hidden="false" customHeight="false" outlineLevel="0" collapsed="false">
      <c r="A159" s="8" t="s">
        <v>625</v>
      </c>
      <c r="B159" s="8" t="s">
        <v>17</v>
      </c>
      <c r="C159" s="8" t="s">
        <v>615</v>
      </c>
      <c r="D159" s="8" t="s">
        <v>78</v>
      </c>
      <c r="E159" s="8" t="s">
        <v>626</v>
      </c>
      <c r="F159" s="8" t="s">
        <v>627</v>
      </c>
      <c r="G159" s="8" t="s">
        <v>628</v>
      </c>
      <c r="H159" s="8" t="s">
        <v>6</v>
      </c>
      <c r="I159" s="8"/>
      <c r="J159" s="9"/>
      <c r="K159" s="8"/>
    </row>
    <row r="160" customFormat="false" ht="28.35" hidden="false" customHeight="false" outlineLevel="0" collapsed="false">
      <c r="A160" s="8" t="s">
        <v>629</v>
      </c>
      <c r="B160" s="8" t="s">
        <v>17</v>
      </c>
      <c r="C160" s="8" t="s">
        <v>615</v>
      </c>
      <c r="D160" s="8" t="s">
        <v>78</v>
      </c>
      <c r="E160" s="8" t="s">
        <v>630</v>
      </c>
      <c r="F160" s="8" t="s">
        <v>631</v>
      </c>
      <c r="G160" s="8" t="s">
        <v>632</v>
      </c>
      <c r="H160" s="8" t="s">
        <v>6</v>
      </c>
      <c r="I160" s="8"/>
      <c r="J160" s="9"/>
      <c r="K160" s="8"/>
    </row>
    <row r="161" customFormat="false" ht="28.35" hidden="false" customHeight="false" outlineLevel="0" collapsed="false">
      <c r="A161" s="8" t="s">
        <v>633</v>
      </c>
      <c r="B161" s="8" t="s">
        <v>17</v>
      </c>
      <c r="C161" s="8" t="s">
        <v>615</v>
      </c>
      <c r="D161" s="8" t="s">
        <v>78</v>
      </c>
      <c r="E161" s="8" t="s">
        <v>634</v>
      </c>
      <c r="F161" s="8" t="s">
        <v>635</v>
      </c>
      <c r="G161" s="8" t="s">
        <v>628</v>
      </c>
      <c r="H161" s="8" t="s">
        <v>6</v>
      </c>
      <c r="I161" s="8"/>
      <c r="J161" s="9"/>
      <c r="K161" s="8"/>
    </row>
    <row r="162" customFormat="false" ht="28.35" hidden="false" customHeight="false" outlineLevel="0" collapsed="false">
      <c r="A162" s="8" t="s">
        <v>636</v>
      </c>
      <c r="B162" s="8" t="s">
        <v>17</v>
      </c>
      <c r="C162" s="8" t="s">
        <v>615</v>
      </c>
      <c r="D162" s="8" t="s">
        <v>78</v>
      </c>
      <c r="E162" s="8" t="s">
        <v>637</v>
      </c>
      <c r="F162" s="8" t="s">
        <v>638</v>
      </c>
      <c r="G162" s="8"/>
      <c r="H162" s="8" t="s">
        <v>6</v>
      </c>
      <c r="I162" s="8"/>
      <c r="J162" s="9"/>
      <c r="K162" s="8"/>
    </row>
    <row r="163" customFormat="false" ht="28.35" hidden="false" customHeight="false" outlineLevel="0" collapsed="false">
      <c r="A163" s="8" t="s">
        <v>639</v>
      </c>
      <c r="B163" s="8" t="s">
        <v>17</v>
      </c>
      <c r="C163" s="8" t="s">
        <v>615</v>
      </c>
      <c r="D163" s="8" t="s">
        <v>167</v>
      </c>
      <c r="E163" s="8" t="s">
        <v>640</v>
      </c>
      <c r="F163" s="8" t="s">
        <v>641</v>
      </c>
      <c r="G163" s="8" t="s">
        <v>546</v>
      </c>
      <c r="H163" s="8" t="s">
        <v>6</v>
      </c>
      <c r="I163" s="8"/>
      <c r="J163" s="9"/>
      <c r="K163" s="8"/>
    </row>
    <row r="164" customFormat="false" ht="28.35" hidden="false" customHeight="false" outlineLevel="0" collapsed="false">
      <c r="A164" s="8" t="s">
        <v>642</v>
      </c>
      <c r="B164" s="8" t="s">
        <v>17</v>
      </c>
      <c r="C164" s="8" t="s">
        <v>615</v>
      </c>
      <c r="D164" s="8" t="s">
        <v>78</v>
      </c>
      <c r="E164" s="8" t="s">
        <v>643</v>
      </c>
      <c r="F164" s="8" t="s">
        <v>644</v>
      </c>
      <c r="G164" s="8"/>
      <c r="H164" s="8" t="s">
        <v>6</v>
      </c>
      <c r="I164" s="8"/>
      <c r="J164" s="9"/>
      <c r="K164" s="8"/>
    </row>
    <row r="165" customFormat="false" ht="28.35" hidden="false" customHeight="false" outlineLevel="0" collapsed="false">
      <c r="A165" s="8" t="s">
        <v>645</v>
      </c>
      <c r="B165" s="8" t="s">
        <v>17</v>
      </c>
      <c r="C165" s="8" t="s">
        <v>615</v>
      </c>
      <c r="D165" s="8" t="s">
        <v>78</v>
      </c>
      <c r="E165" s="8" t="s">
        <v>646</v>
      </c>
      <c r="F165" s="8" t="s">
        <v>647</v>
      </c>
      <c r="G165" s="8" t="s">
        <v>648</v>
      </c>
      <c r="H165" s="8" t="s">
        <v>6</v>
      </c>
      <c r="I165" s="8"/>
      <c r="J165" s="9"/>
      <c r="K165" s="8"/>
    </row>
    <row r="166" customFormat="false" ht="28.35" hidden="false" customHeight="false" outlineLevel="0" collapsed="false">
      <c r="A166" s="8" t="s">
        <v>649</v>
      </c>
      <c r="B166" s="8" t="s">
        <v>17</v>
      </c>
      <c r="C166" s="8" t="s">
        <v>615</v>
      </c>
      <c r="D166" s="8" t="s">
        <v>78</v>
      </c>
      <c r="E166" s="8" t="s">
        <v>650</v>
      </c>
      <c r="F166" s="8" t="s">
        <v>651</v>
      </c>
      <c r="G166" s="8" t="s">
        <v>632</v>
      </c>
      <c r="H166" s="8" t="s">
        <v>6</v>
      </c>
      <c r="I166" s="8"/>
      <c r="J166" s="9"/>
      <c r="K166" s="8"/>
    </row>
    <row r="167" customFormat="false" ht="28.35" hidden="false" customHeight="false" outlineLevel="0" collapsed="false">
      <c r="A167" s="8" t="s">
        <v>652</v>
      </c>
      <c r="B167" s="8" t="s">
        <v>17</v>
      </c>
      <c r="C167" s="8" t="s">
        <v>615</v>
      </c>
      <c r="D167" s="8" t="s">
        <v>78</v>
      </c>
      <c r="E167" s="8" t="s">
        <v>653</v>
      </c>
      <c r="F167" s="8" t="s">
        <v>654</v>
      </c>
      <c r="G167" s="8" t="s">
        <v>655</v>
      </c>
      <c r="H167" s="8" t="s">
        <v>6</v>
      </c>
      <c r="I167" s="8"/>
      <c r="J167" s="9"/>
      <c r="K167" s="8"/>
    </row>
    <row r="168" customFormat="false" ht="15" hidden="false" customHeight="false" outlineLevel="0" collapsed="false">
      <c r="A168" s="8" t="s">
        <v>656</v>
      </c>
      <c r="B168" s="8" t="s">
        <v>18</v>
      </c>
      <c r="C168" s="8" t="s">
        <v>657</v>
      </c>
      <c r="D168" s="8" t="s">
        <v>78</v>
      </c>
      <c r="E168" s="8" t="s">
        <v>658</v>
      </c>
      <c r="F168" s="8" t="s">
        <v>659</v>
      </c>
      <c r="G168" s="8" t="s">
        <v>97</v>
      </c>
      <c r="H168" s="8" t="s">
        <v>6</v>
      </c>
      <c r="I168" s="8"/>
      <c r="J168" s="9"/>
      <c r="K168" s="8"/>
    </row>
    <row r="169" customFormat="false" ht="15" hidden="false" customHeight="false" outlineLevel="0" collapsed="false">
      <c r="A169" s="8" t="s">
        <v>660</v>
      </c>
      <c r="B169" s="8" t="s">
        <v>18</v>
      </c>
      <c r="C169" s="8" t="s">
        <v>657</v>
      </c>
      <c r="D169" s="8" t="s">
        <v>167</v>
      </c>
      <c r="E169" s="8" t="s">
        <v>661</v>
      </c>
      <c r="F169" s="8" t="s">
        <v>662</v>
      </c>
      <c r="G169" s="8" t="s">
        <v>97</v>
      </c>
      <c r="H169" s="8" t="s">
        <v>6</v>
      </c>
      <c r="I169" s="8"/>
      <c r="J169" s="9"/>
      <c r="K169" s="8"/>
    </row>
    <row r="170" customFormat="false" ht="15" hidden="false" customHeight="false" outlineLevel="0" collapsed="false">
      <c r="A170" s="8" t="s">
        <v>663</v>
      </c>
      <c r="B170" s="8" t="s">
        <v>18</v>
      </c>
      <c r="C170" s="8" t="s">
        <v>664</v>
      </c>
      <c r="D170" s="8" t="s">
        <v>188</v>
      </c>
      <c r="E170" s="8" t="s">
        <v>665</v>
      </c>
      <c r="F170" s="8" t="s">
        <v>666</v>
      </c>
      <c r="G170" s="8" t="s">
        <v>191</v>
      </c>
      <c r="H170" s="8" t="s">
        <v>6</v>
      </c>
      <c r="I170" s="8"/>
      <c r="J170" s="9"/>
      <c r="K170" s="8"/>
    </row>
    <row r="171" customFormat="false" ht="41.75" hidden="false" customHeight="false" outlineLevel="0" collapsed="false">
      <c r="A171" s="8" t="s">
        <v>667</v>
      </c>
      <c r="B171" s="8" t="s">
        <v>18</v>
      </c>
      <c r="C171" s="8" t="s">
        <v>668</v>
      </c>
      <c r="D171" s="8" t="s">
        <v>188</v>
      </c>
      <c r="E171" s="8" t="s">
        <v>669</v>
      </c>
      <c r="F171" s="8" t="s">
        <v>670</v>
      </c>
      <c r="G171" s="8" t="s">
        <v>191</v>
      </c>
      <c r="H171" s="8" t="s">
        <v>6</v>
      </c>
      <c r="I171" s="8"/>
      <c r="J171" s="9"/>
      <c r="K171" s="8"/>
    </row>
    <row r="172" customFormat="false" ht="15" hidden="false" customHeight="false" outlineLevel="0" collapsed="false">
      <c r="A172" s="8" t="s">
        <v>671</v>
      </c>
      <c r="B172" s="8" t="s">
        <v>18</v>
      </c>
      <c r="C172" s="8" t="s">
        <v>664</v>
      </c>
      <c r="D172" s="8" t="s">
        <v>193</v>
      </c>
      <c r="E172" s="8" t="s">
        <v>665</v>
      </c>
      <c r="F172" s="8" t="s">
        <v>672</v>
      </c>
      <c r="G172" s="8" t="s">
        <v>673</v>
      </c>
      <c r="H172" s="8" t="s">
        <v>6</v>
      </c>
      <c r="I172" s="8"/>
      <c r="J172" s="9"/>
      <c r="K172" s="8"/>
    </row>
    <row r="173" customFormat="false" ht="15" hidden="false" customHeight="false" outlineLevel="0" collapsed="false">
      <c r="A173" s="8" t="s">
        <v>674</v>
      </c>
      <c r="B173" s="8" t="s">
        <v>18</v>
      </c>
      <c r="C173" s="8" t="s">
        <v>675</v>
      </c>
      <c r="D173" s="8" t="s">
        <v>193</v>
      </c>
      <c r="E173" s="8" t="s">
        <v>676</v>
      </c>
      <c r="F173" s="8" t="s">
        <v>677</v>
      </c>
      <c r="G173" s="8" t="s">
        <v>673</v>
      </c>
      <c r="H173" s="8" t="s">
        <v>6</v>
      </c>
      <c r="I173" s="8"/>
      <c r="J173" s="9"/>
      <c r="K173" s="8"/>
    </row>
    <row r="174" customFormat="false" ht="28.35" hidden="false" customHeight="false" outlineLevel="0" collapsed="false">
      <c r="A174" s="8" t="s">
        <v>678</v>
      </c>
      <c r="B174" s="8" t="s">
        <v>18</v>
      </c>
      <c r="C174" s="8" t="s">
        <v>664</v>
      </c>
      <c r="D174" s="8" t="s">
        <v>94</v>
      </c>
      <c r="E174" s="8" t="s">
        <v>665</v>
      </c>
      <c r="F174" s="8" t="s">
        <v>679</v>
      </c>
      <c r="G174" s="8"/>
      <c r="H174" s="8" t="s">
        <v>6</v>
      </c>
      <c r="I174" s="8"/>
      <c r="J174" s="9"/>
      <c r="K174" s="8"/>
    </row>
    <row r="175" customFormat="false" ht="15" hidden="false" customHeight="false" outlineLevel="0" collapsed="false">
      <c r="A175" s="8" t="s">
        <v>680</v>
      </c>
      <c r="B175" s="8" t="s">
        <v>18</v>
      </c>
      <c r="C175" s="8" t="s">
        <v>681</v>
      </c>
      <c r="D175" s="8" t="s">
        <v>682</v>
      </c>
      <c r="E175" s="8" t="s">
        <v>683</v>
      </c>
      <c r="F175" s="8" t="s">
        <v>684</v>
      </c>
      <c r="G175" s="8" t="s">
        <v>97</v>
      </c>
      <c r="H175" s="8" t="s">
        <v>6</v>
      </c>
      <c r="I175" s="8"/>
      <c r="J175" s="9"/>
      <c r="K175" s="8"/>
    </row>
    <row r="176" customFormat="false" ht="41.75" hidden="false" customHeight="false" outlineLevel="0" collapsed="false">
      <c r="A176" s="8" t="s">
        <v>685</v>
      </c>
      <c r="B176" s="8" t="s">
        <v>19</v>
      </c>
      <c r="C176" s="8" t="s">
        <v>686</v>
      </c>
      <c r="D176" s="8" t="s">
        <v>94</v>
      </c>
      <c r="E176" s="8" t="s">
        <v>687</v>
      </c>
      <c r="F176" s="8" t="s">
        <v>688</v>
      </c>
      <c r="G176" s="8" t="s">
        <v>689</v>
      </c>
      <c r="H176" s="8" t="s">
        <v>6</v>
      </c>
      <c r="I176" s="8"/>
      <c r="J176" s="9"/>
      <c r="K176" s="8"/>
    </row>
    <row r="177" customFormat="false" ht="28.35" hidden="false" customHeight="false" outlineLevel="0" collapsed="false">
      <c r="A177" s="8" t="s">
        <v>690</v>
      </c>
      <c r="B177" s="8" t="s">
        <v>19</v>
      </c>
      <c r="C177" s="8" t="s">
        <v>686</v>
      </c>
      <c r="D177" s="8" t="s">
        <v>94</v>
      </c>
      <c r="E177" s="8" t="s">
        <v>691</v>
      </c>
      <c r="F177" s="8" t="s">
        <v>692</v>
      </c>
      <c r="G177" s="8" t="s">
        <v>689</v>
      </c>
      <c r="H177" s="8" t="s">
        <v>6</v>
      </c>
      <c r="I177" s="8"/>
      <c r="J177" s="9"/>
      <c r="K177" s="8"/>
    </row>
    <row r="178" customFormat="false" ht="28.35" hidden="false" customHeight="false" outlineLevel="0" collapsed="false">
      <c r="A178" s="8" t="s">
        <v>693</v>
      </c>
      <c r="B178" s="8" t="s">
        <v>19</v>
      </c>
      <c r="C178" s="8" t="s">
        <v>686</v>
      </c>
      <c r="D178" s="8" t="s">
        <v>94</v>
      </c>
      <c r="E178" s="8" t="s">
        <v>694</v>
      </c>
      <c r="F178" s="8" t="s">
        <v>695</v>
      </c>
      <c r="G178" s="8"/>
      <c r="H178" s="8" t="s">
        <v>6</v>
      </c>
      <c r="I178" s="8"/>
      <c r="J178" s="9"/>
      <c r="K178" s="8"/>
    </row>
    <row r="179" customFormat="false" ht="28.35" hidden="false" customHeight="false" outlineLevel="0" collapsed="false">
      <c r="A179" s="8" t="s">
        <v>696</v>
      </c>
      <c r="B179" s="8" t="s">
        <v>19</v>
      </c>
      <c r="C179" s="8" t="s">
        <v>686</v>
      </c>
      <c r="D179" s="8" t="s">
        <v>94</v>
      </c>
      <c r="E179" s="8" t="s">
        <v>697</v>
      </c>
      <c r="F179" s="8" t="s">
        <v>698</v>
      </c>
      <c r="G179" s="8"/>
      <c r="H179" s="8" t="s">
        <v>6</v>
      </c>
      <c r="I179" s="8"/>
      <c r="J179" s="9"/>
      <c r="K179" s="8"/>
    </row>
    <row r="180" customFormat="false" ht="28.35" hidden="false" customHeight="false" outlineLevel="0" collapsed="false">
      <c r="A180" s="8" t="s">
        <v>699</v>
      </c>
      <c r="B180" s="8" t="s">
        <v>19</v>
      </c>
      <c r="C180" s="8" t="s">
        <v>686</v>
      </c>
      <c r="D180" s="8" t="s">
        <v>94</v>
      </c>
      <c r="E180" s="8" t="s">
        <v>700</v>
      </c>
      <c r="F180" s="8" t="s">
        <v>701</v>
      </c>
      <c r="G180" s="8"/>
      <c r="H180" s="8" t="s">
        <v>6</v>
      </c>
      <c r="I180" s="8"/>
      <c r="J180" s="9"/>
      <c r="K180" s="8"/>
    </row>
    <row r="181" customFormat="false" ht="28.35" hidden="false" customHeight="false" outlineLevel="0" collapsed="false">
      <c r="A181" s="8" t="s">
        <v>702</v>
      </c>
      <c r="B181" s="8" t="s">
        <v>19</v>
      </c>
      <c r="C181" s="8" t="s">
        <v>686</v>
      </c>
      <c r="D181" s="8" t="s">
        <v>94</v>
      </c>
      <c r="E181" s="8" t="s">
        <v>703</v>
      </c>
      <c r="F181" s="8" t="s">
        <v>704</v>
      </c>
      <c r="G181" s="8"/>
      <c r="H181" s="8" t="s">
        <v>6</v>
      </c>
      <c r="I181" s="8"/>
      <c r="J181" s="9"/>
      <c r="K181" s="8"/>
    </row>
    <row r="182" customFormat="false" ht="28.35" hidden="false" customHeight="false" outlineLevel="0" collapsed="false">
      <c r="A182" s="8" t="s">
        <v>705</v>
      </c>
      <c r="B182" s="8" t="s">
        <v>19</v>
      </c>
      <c r="C182" s="8" t="s">
        <v>686</v>
      </c>
      <c r="D182" s="8" t="s">
        <v>94</v>
      </c>
      <c r="E182" s="8" t="s">
        <v>706</v>
      </c>
      <c r="F182" s="8" t="s">
        <v>707</v>
      </c>
      <c r="G182" s="8"/>
      <c r="H182" s="8" t="s">
        <v>6</v>
      </c>
      <c r="I182" s="8"/>
      <c r="J182" s="9"/>
      <c r="K182" s="8"/>
    </row>
    <row r="183" customFormat="false" ht="28.35" hidden="false" customHeight="false" outlineLevel="0" collapsed="false">
      <c r="A183" s="8" t="s">
        <v>708</v>
      </c>
      <c r="B183" s="8" t="s">
        <v>19</v>
      </c>
      <c r="C183" s="8" t="s">
        <v>686</v>
      </c>
      <c r="D183" s="8" t="s">
        <v>94</v>
      </c>
      <c r="E183" s="8" t="s">
        <v>709</v>
      </c>
      <c r="F183" s="8" t="s">
        <v>710</v>
      </c>
      <c r="G183" s="8"/>
      <c r="H183" s="8" t="s">
        <v>6</v>
      </c>
      <c r="I183" s="8"/>
      <c r="J183" s="9"/>
      <c r="K183" s="8"/>
    </row>
    <row r="184" customFormat="false" ht="28.35" hidden="false" customHeight="false" outlineLevel="0" collapsed="false">
      <c r="A184" s="8" t="s">
        <v>711</v>
      </c>
      <c r="B184" s="8" t="s">
        <v>19</v>
      </c>
      <c r="C184" s="8" t="s">
        <v>686</v>
      </c>
      <c r="D184" s="8" t="s">
        <v>94</v>
      </c>
      <c r="E184" s="8" t="s">
        <v>712</v>
      </c>
      <c r="F184" s="8" t="s">
        <v>713</v>
      </c>
      <c r="G184" s="8"/>
      <c r="H184" s="8" t="s">
        <v>6</v>
      </c>
      <c r="I184" s="8"/>
      <c r="J184" s="9"/>
      <c r="K184" s="8"/>
    </row>
    <row r="185" customFormat="false" ht="28.35" hidden="false" customHeight="false" outlineLevel="0" collapsed="false">
      <c r="A185" s="8" t="s">
        <v>714</v>
      </c>
      <c r="B185" s="8" t="s">
        <v>19</v>
      </c>
      <c r="C185" s="8" t="s">
        <v>686</v>
      </c>
      <c r="D185" s="8" t="s">
        <v>94</v>
      </c>
      <c r="E185" s="8" t="s">
        <v>715</v>
      </c>
      <c r="F185" s="8" t="s">
        <v>716</v>
      </c>
      <c r="G185" s="8" t="s">
        <v>717</v>
      </c>
      <c r="H185" s="8" t="s">
        <v>6</v>
      </c>
      <c r="I185" s="8"/>
      <c r="J185" s="9"/>
      <c r="K185" s="8"/>
    </row>
    <row r="186" customFormat="false" ht="28.35" hidden="false" customHeight="false" outlineLevel="0" collapsed="false">
      <c r="A186" s="8" t="s">
        <v>718</v>
      </c>
      <c r="B186" s="8" t="s">
        <v>19</v>
      </c>
      <c r="C186" s="8" t="s">
        <v>686</v>
      </c>
      <c r="D186" s="8" t="s">
        <v>94</v>
      </c>
      <c r="E186" s="8" t="s">
        <v>719</v>
      </c>
      <c r="F186" s="8" t="s">
        <v>720</v>
      </c>
      <c r="G186" s="8"/>
      <c r="H186" s="8" t="s">
        <v>6</v>
      </c>
      <c r="I186" s="8"/>
      <c r="J186" s="9"/>
      <c r="K186" s="8"/>
    </row>
    <row r="187" customFormat="false" ht="28.35" hidden="false" customHeight="false" outlineLevel="0" collapsed="false">
      <c r="A187" s="8" t="s">
        <v>721</v>
      </c>
      <c r="B187" s="8" t="s">
        <v>19</v>
      </c>
      <c r="C187" s="8" t="s">
        <v>686</v>
      </c>
      <c r="D187" s="8" t="s">
        <v>94</v>
      </c>
      <c r="E187" s="8" t="s">
        <v>722</v>
      </c>
      <c r="F187" s="8" t="s">
        <v>723</v>
      </c>
      <c r="G187" s="8" t="s">
        <v>689</v>
      </c>
      <c r="H187" s="8" t="s">
        <v>6</v>
      </c>
      <c r="I187" s="8"/>
      <c r="J187" s="9"/>
      <c r="K187" s="8"/>
    </row>
    <row r="188" customFormat="false" ht="28.35" hidden="false" customHeight="false" outlineLevel="0" collapsed="false">
      <c r="A188" s="8" t="s">
        <v>724</v>
      </c>
      <c r="B188" s="8" t="s">
        <v>19</v>
      </c>
      <c r="C188" s="8" t="s">
        <v>686</v>
      </c>
      <c r="D188" s="8" t="s">
        <v>94</v>
      </c>
      <c r="E188" s="8" t="s">
        <v>725</v>
      </c>
      <c r="F188" s="8" t="s">
        <v>726</v>
      </c>
      <c r="G188" s="8" t="s">
        <v>727</v>
      </c>
      <c r="H188" s="8" t="s">
        <v>6</v>
      </c>
      <c r="I188" s="8"/>
      <c r="J188" s="9"/>
      <c r="K188" s="8"/>
    </row>
    <row r="189" customFormat="false" ht="28.35" hidden="false" customHeight="false" outlineLevel="0" collapsed="false">
      <c r="A189" s="8" t="s">
        <v>728</v>
      </c>
      <c r="B189" s="8" t="s">
        <v>19</v>
      </c>
      <c r="C189" s="8" t="s">
        <v>686</v>
      </c>
      <c r="D189" s="8" t="s">
        <v>94</v>
      </c>
      <c r="E189" s="8" t="s">
        <v>729</v>
      </c>
      <c r="F189" s="8" t="s">
        <v>730</v>
      </c>
      <c r="G189" s="8" t="s">
        <v>717</v>
      </c>
      <c r="H189" s="8" t="s">
        <v>6</v>
      </c>
      <c r="I189" s="8"/>
      <c r="J189" s="9"/>
      <c r="K189" s="8"/>
    </row>
    <row r="190" customFormat="false" ht="15" hidden="false" customHeight="false" outlineLevel="0" collapsed="false">
      <c r="A190" s="8" t="s">
        <v>731</v>
      </c>
      <c r="B190" s="8" t="s">
        <v>19</v>
      </c>
      <c r="C190" s="8" t="s">
        <v>686</v>
      </c>
      <c r="D190" s="8" t="s">
        <v>193</v>
      </c>
      <c r="E190" s="8" t="s">
        <v>687</v>
      </c>
      <c r="F190" s="8" t="s">
        <v>732</v>
      </c>
      <c r="G190" s="8"/>
      <c r="H190" s="8" t="s">
        <v>6</v>
      </c>
      <c r="I190" s="8"/>
      <c r="J190" s="9"/>
      <c r="K190" s="8"/>
    </row>
    <row r="191" customFormat="false" ht="28.35" hidden="false" customHeight="false" outlineLevel="0" collapsed="false">
      <c r="A191" s="8" t="s">
        <v>733</v>
      </c>
      <c r="B191" s="8" t="s">
        <v>20</v>
      </c>
      <c r="C191" s="8" t="s">
        <v>734</v>
      </c>
      <c r="D191" s="8" t="s">
        <v>188</v>
      </c>
      <c r="E191" s="8" t="s">
        <v>735</v>
      </c>
      <c r="F191" s="8" t="s">
        <v>736</v>
      </c>
      <c r="G191" s="8" t="s">
        <v>737</v>
      </c>
      <c r="H191" s="8" t="s">
        <v>6</v>
      </c>
      <c r="I191" s="8"/>
      <c r="J191" s="9"/>
      <c r="K191" s="8"/>
    </row>
    <row r="192" customFormat="false" ht="15" hidden="false" customHeight="false" outlineLevel="0" collapsed="false">
      <c r="A192" s="8" t="s">
        <v>738</v>
      </c>
      <c r="B192" s="8" t="s">
        <v>20</v>
      </c>
      <c r="C192" s="8" t="s">
        <v>734</v>
      </c>
      <c r="D192" s="8" t="s">
        <v>188</v>
      </c>
      <c r="E192" s="8" t="s">
        <v>739</v>
      </c>
      <c r="F192" s="8" t="s">
        <v>740</v>
      </c>
      <c r="G192" s="8" t="s">
        <v>737</v>
      </c>
      <c r="H192" s="8" t="s">
        <v>6</v>
      </c>
      <c r="I192" s="8"/>
      <c r="J192" s="9"/>
      <c r="K192" s="8"/>
    </row>
    <row r="193" customFormat="false" ht="15" hidden="false" customHeight="false" outlineLevel="0" collapsed="false">
      <c r="A193" s="8" t="s">
        <v>741</v>
      </c>
      <c r="B193" s="8" t="s">
        <v>20</v>
      </c>
      <c r="C193" s="8" t="s">
        <v>734</v>
      </c>
      <c r="D193" s="8" t="s">
        <v>188</v>
      </c>
      <c r="E193" s="8" t="s">
        <v>742</v>
      </c>
      <c r="F193" s="8" t="s">
        <v>743</v>
      </c>
      <c r="G193" s="8"/>
      <c r="H193" s="8" t="s">
        <v>6</v>
      </c>
      <c r="I193" s="8"/>
      <c r="J193" s="9"/>
      <c r="K193" s="8"/>
    </row>
    <row r="194" customFormat="false" ht="15" hidden="false" customHeight="false" outlineLevel="0" collapsed="false">
      <c r="A194" s="8" t="s">
        <v>744</v>
      </c>
      <c r="B194" s="8" t="s">
        <v>20</v>
      </c>
      <c r="C194" s="8" t="s">
        <v>734</v>
      </c>
      <c r="D194" s="8" t="s">
        <v>188</v>
      </c>
      <c r="E194" s="8" t="s">
        <v>745</v>
      </c>
      <c r="F194" s="8" t="s">
        <v>746</v>
      </c>
      <c r="G194" s="8"/>
      <c r="H194" s="8" t="s">
        <v>6</v>
      </c>
      <c r="I194" s="8"/>
      <c r="J194" s="9"/>
      <c r="K194" s="8"/>
    </row>
    <row r="195" customFormat="false" ht="15" hidden="false" customHeight="false" outlineLevel="0" collapsed="false">
      <c r="A195" s="8" t="s">
        <v>747</v>
      </c>
      <c r="B195" s="8" t="s">
        <v>20</v>
      </c>
      <c r="C195" s="8" t="s">
        <v>734</v>
      </c>
      <c r="D195" s="8" t="s">
        <v>188</v>
      </c>
      <c r="E195" s="8" t="s">
        <v>748</v>
      </c>
      <c r="F195" s="8" t="s">
        <v>749</v>
      </c>
      <c r="G195" s="8" t="s">
        <v>737</v>
      </c>
      <c r="H195" s="8" t="s">
        <v>6</v>
      </c>
      <c r="I195" s="8"/>
      <c r="J195" s="9"/>
      <c r="K195" s="8"/>
    </row>
    <row r="196" customFormat="false" ht="15" hidden="false" customHeight="false" outlineLevel="0" collapsed="false">
      <c r="A196" s="8" t="s">
        <v>750</v>
      </c>
      <c r="B196" s="8" t="s">
        <v>20</v>
      </c>
      <c r="C196" s="8" t="s">
        <v>734</v>
      </c>
      <c r="D196" s="8" t="s">
        <v>188</v>
      </c>
      <c r="E196" s="8" t="s">
        <v>751</v>
      </c>
      <c r="F196" s="8" t="s">
        <v>752</v>
      </c>
      <c r="G196" s="8" t="s">
        <v>737</v>
      </c>
      <c r="H196" s="8" t="s">
        <v>6</v>
      </c>
      <c r="I196" s="8"/>
      <c r="J196" s="9"/>
      <c r="K196" s="8"/>
    </row>
    <row r="197" customFormat="false" ht="15" hidden="false" customHeight="false" outlineLevel="0" collapsed="false">
      <c r="A197" s="8" t="s">
        <v>753</v>
      </c>
      <c r="B197" s="8" t="s">
        <v>20</v>
      </c>
      <c r="C197" s="8" t="s">
        <v>734</v>
      </c>
      <c r="D197" s="8" t="s">
        <v>188</v>
      </c>
      <c r="E197" s="8" t="s">
        <v>754</v>
      </c>
      <c r="F197" s="8" t="s">
        <v>755</v>
      </c>
      <c r="G197" s="8" t="s">
        <v>737</v>
      </c>
      <c r="H197" s="8" t="s">
        <v>6</v>
      </c>
      <c r="I197" s="8"/>
      <c r="J197" s="9"/>
      <c r="K197" s="8"/>
    </row>
    <row r="198" customFormat="false" ht="15" hidden="false" customHeight="false" outlineLevel="0" collapsed="false">
      <c r="A198" s="8" t="s">
        <v>756</v>
      </c>
      <c r="B198" s="8" t="s">
        <v>20</v>
      </c>
      <c r="C198" s="8" t="s">
        <v>734</v>
      </c>
      <c r="D198" s="8" t="s">
        <v>188</v>
      </c>
      <c r="E198" s="8" t="s">
        <v>757</v>
      </c>
      <c r="F198" s="8" t="s">
        <v>758</v>
      </c>
      <c r="G198" s="8"/>
      <c r="H198" s="8" t="s">
        <v>6</v>
      </c>
      <c r="I198" s="8"/>
      <c r="J198" s="9"/>
      <c r="K198" s="8"/>
    </row>
    <row r="199" customFormat="false" ht="15" hidden="false" customHeight="false" outlineLevel="0" collapsed="false">
      <c r="A199" s="8" t="s">
        <v>759</v>
      </c>
      <c r="B199" s="8" t="s">
        <v>20</v>
      </c>
      <c r="C199" s="8" t="s">
        <v>734</v>
      </c>
      <c r="D199" s="8" t="s">
        <v>188</v>
      </c>
      <c r="E199" s="8" t="s">
        <v>760</v>
      </c>
      <c r="F199" s="8" t="s">
        <v>761</v>
      </c>
      <c r="G199" s="8"/>
      <c r="H199" s="8" t="s">
        <v>6</v>
      </c>
      <c r="I199" s="8"/>
      <c r="J199" s="9"/>
      <c r="K199" s="8"/>
    </row>
    <row r="200" customFormat="false" ht="15" hidden="false" customHeight="false" outlineLevel="0" collapsed="false">
      <c r="A200" s="8" t="s">
        <v>762</v>
      </c>
      <c r="B200" s="8" t="s">
        <v>20</v>
      </c>
      <c r="C200" s="8" t="s">
        <v>734</v>
      </c>
      <c r="D200" s="8" t="s">
        <v>188</v>
      </c>
      <c r="E200" s="8" t="s">
        <v>763</v>
      </c>
      <c r="F200" s="8" t="s">
        <v>764</v>
      </c>
      <c r="G200" s="8"/>
      <c r="H200" s="8" t="s">
        <v>6</v>
      </c>
      <c r="I200" s="8"/>
      <c r="J200" s="9"/>
      <c r="K200" s="8"/>
    </row>
    <row r="201" customFormat="false" ht="15" hidden="false" customHeight="false" outlineLevel="0" collapsed="false">
      <c r="A201" s="8" t="s">
        <v>765</v>
      </c>
      <c r="B201" s="8" t="s">
        <v>20</v>
      </c>
      <c r="C201" s="8" t="s">
        <v>734</v>
      </c>
      <c r="D201" s="8" t="s">
        <v>188</v>
      </c>
      <c r="E201" s="8" t="s">
        <v>766</v>
      </c>
      <c r="F201" s="8" t="s">
        <v>767</v>
      </c>
      <c r="G201" s="8"/>
      <c r="H201" s="8" t="s">
        <v>6</v>
      </c>
      <c r="I201" s="8"/>
      <c r="J201" s="9"/>
      <c r="K201" s="8"/>
    </row>
    <row r="202" customFormat="false" ht="15" hidden="false" customHeight="false" outlineLevel="0" collapsed="false">
      <c r="A202" s="8" t="s">
        <v>768</v>
      </c>
      <c r="B202" s="8" t="s">
        <v>20</v>
      </c>
      <c r="C202" s="8" t="s">
        <v>734</v>
      </c>
      <c r="D202" s="8" t="s">
        <v>188</v>
      </c>
      <c r="E202" s="8" t="s">
        <v>769</v>
      </c>
      <c r="F202" s="8" t="s">
        <v>770</v>
      </c>
      <c r="G202" s="8" t="s">
        <v>771</v>
      </c>
      <c r="H202" s="8" t="s">
        <v>6</v>
      </c>
      <c r="I202" s="8"/>
      <c r="J202" s="9"/>
      <c r="K202" s="8"/>
    </row>
    <row r="203" customFormat="false" ht="15" hidden="false" customHeight="false" outlineLevel="0" collapsed="false">
      <c r="A203" s="8" t="s">
        <v>772</v>
      </c>
      <c r="B203" s="8" t="s">
        <v>20</v>
      </c>
      <c r="C203" s="8" t="s">
        <v>734</v>
      </c>
      <c r="D203" s="8" t="s">
        <v>188</v>
      </c>
      <c r="E203" s="8" t="s">
        <v>773</v>
      </c>
      <c r="F203" s="8" t="s">
        <v>774</v>
      </c>
      <c r="G203" s="8" t="s">
        <v>771</v>
      </c>
      <c r="H203" s="8" t="s">
        <v>6</v>
      </c>
      <c r="I203" s="8"/>
      <c r="J203" s="9"/>
      <c r="K203" s="8"/>
    </row>
    <row r="204" customFormat="false" ht="15" hidden="false" customHeight="false" outlineLevel="0" collapsed="false">
      <c r="A204" s="8" t="s">
        <v>775</v>
      </c>
      <c r="B204" s="8" t="s">
        <v>20</v>
      </c>
      <c r="C204" s="8" t="s">
        <v>734</v>
      </c>
      <c r="D204" s="8" t="s">
        <v>188</v>
      </c>
      <c r="E204" s="8" t="s">
        <v>776</v>
      </c>
      <c r="F204" s="8" t="s">
        <v>777</v>
      </c>
      <c r="G204" s="8"/>
      <c r="H204" s="8" t="s">
        <v>6</v>
      </c>
      <c r="I204" s="8"/>
      <c r="J204" s="9"/>
      <c r="K204" s="8"/>
    </row>
    <row r="205" customFormat="false" ht="28.35" hidden="false" customHeight="false" outlineLevel="0" collapsed="false">
      <c r="A205" s="8" t="s">
        <v>778</v>
      </c>
      <c r="B205" s="8" t="s">
        <v>20</v>
      </c>
      <c r="C205" s="8" t="s">
        <v>734</v>
      </c>
      <c r="D205" s="8" t="s">
        <v>188</v>
      </c>
      <c r="E205" s="8" t="s">
        <v>779</v>
      </c>
      <c r="F205" s="8" t="s">
        <v>780</v>
      </c>
      <c r="G205" s="8" t="s">
        <v>781</v>
      </c>
      <c r="H205" s="8" t="s">
        <v>6</v>
      </c>
      <c r="I205" s="8"/>
      <c r="J205" s="9"/>
      <c r="K205" s="8"/>
    </row>
    <row r="206" customFormat="false" ht="15" hidden="false" customHeight="false" outlineLevel="0" collapsed="false">
      <c r="A206" s="8" t="s">
        <v>782</v>
      </c>
      <c r="B206" s="8" t="s">
        <v>20</v>
      </c>
      <c r="C206" s="8" t="s">
        <v>734</v>
      </c>
      <c r="D206" s="8" t="s">
        <v>188</v>
      </c>
      <c r="E206" s="8" t="s">
        <v>783</v>
      </c>
      <c r="F206" s="8" t="s">
        <v>784</v>
      </c>
      <c r="G206" s="8" t="s">
        <v>424</v>
      </c>
      <c r="H206" s="8" t="s">
        <v>6</v>
      </c>
      <c r="I206" s="8"/>
      <c r="J206" s="9"/>
      <c r="K206" s="8"/>
    </row>
    <row r="207" customFormat="false" ht="15" hidden="false" customHeight="false" outlineLevel="0" collapsed="false">
      <c r="A207" s="8" t="s">
        <v>785</v>
      </c>
      <c r="B207" s="8" t="s">
        <v>20</v>
      </c>
      <c r="C207" s="8" t="s">
        <v>734</v>
      </c>
      <c r="D207" s="8" t="s">
        <v>188</v>
      </c>
      <c r="E207" s="8" t="s">
        <v>786</v>
      </c>
      <c r="F207" s="8" t="s">
        <v>787</v>
      </c>
      <c r="G207" s="8" t="s">
        <v>191</v>
      </c>
      <c r="H207" s="8" t="s">
        <v>6</v>
      </c>
      <c r="I207" s="8"/>
      <c r="J207" s="9"/>
      <c r="K207" s="8"/>
    </row>
    <row r="208" customFormat="false" ht="15" hidden="false" customHeight="false" outlineLevel="0" collapsed="false">
      <c r="A208" s="8" t="s">
        <v>788</v>
      </c>
      <c r="B208" s="8" t="s">
        <v>20</v>
      </c>
      <c r="C208" s="8" t="s">
        <v>734</v>
      </c>
      <c r="D208" s="8" t="s">
        <v>188</v>
      </c>
      <c r="E208" s="8" t="s">
        <v>789</v>
      </c>
      <c r="F208" s="8" t="s">
        <v>790</v>
      </c>
      <c r="G208" s="8" t="s">
        <v>791</v>
      </c>
      <c r="H208" s="8" t="s">
        <v>6</v>
      </c>
      <c r="I208" s="8"/>
      <c r="J208" s="9"/>
      <c r="K208" s="8"/>
    </row>
    <row r="209" customFormat="false" ht="15" hidden="false" customHeight="false" outlineLevel="0" collapsed="false">
      <c r="A209" s="8" t="s">
        <v>792</v>
      </c>
      <c r="B209" s="8" t="s">
        <v>20</v>
      </c>
      <c r="C209" s="8" t="s">
        <v>734</v>
      </c>
      <c r="D209" s="8" t="s">
        <v>193</v>
      </c>
      <c r="E209" s="8" t="s">
        <v>793</v>
      </c>
      <c r="F209" s="8" t="s">
        <v>794</v>
      </c>
      <c r="G209" s="8" t="s">
        <v>791</v>
      </c>
      <c r="H209" s="8" t="s">
        <v>6</v>
      </c>
      <c r="I209" s="8"/>
      <c r="J209" s="9"/>
      <c r="K209" s="8"/>
    </row>
    <row r="210" customFormat="false" ht="15" hidden="false" customHeight="false" outlineLevel="0" collapsed="false">
      <c r="A210" s="8" t="s">
        <v>795</v>
      </c>
      <c r="B210" s="8" t="s">
        <v>20</v>
      </c>
      <c r="C210" s="8" t="s">
        <v>734</v>
      </c>
      <c r="D210" s="8" t="s">
        <v>193</v>
      </c>
      <c r="E210" s="8" t="s">
        <v>796</v>
      </c>
      <c r="F210" s="8" t="s">
        <v>246</v>
      </c>
      <c r="G210" s="8" t="s">
        <v>791</v>
      </c>
      <c r="H210" s="8" t="s">
        <v>6</v>
      </c>
      <c r="I210" s="8"/>
      <c r="J210" s="9"/>
      <c r="K210" s="8"/>
    </row>
    <row r="211" customFormat="false" ht="28.35" hidden="false" customHeight="false" outlineLevel="0" collapsed="false">
      <c r="A211" s="8" t="s">
        <v>797</v>
      </c>
      <c r="B211" s="8" t="s">
        <v>20</v>
      </c>
      <c r="C211" s="8" t="s">
        <v>734</v>
      </c>
      <c r="D211" s="8" t="s">
        <v>94</v>
      </c>
      <c r="E211" s="8" t="s">
        <v>798</v>
      </c>
      <c r="F211" s="8" t="s">
        <v>799</v>
      </c>
      <c r="G211" s="8" t="s">
        <v>791</v>
      </c>
      <c r="H211" s="8" t="s">
        <v>6</v>
      </c>
      <c r="I211" s="8"/>
      <c r="J211" s="9"/>
      <c r="K211" s="8"/>
    </row>
    <row r="212" customFormat="false" ht="28.35" hidden="false" customHeight="false" outlineLevel="0" collapsed="false">
      <c r="A212" s="8" t="s">
        <v>800</v>
      </c>
      <c r="B212" s="8" t="s">
        <v>20</v>
      </c>
      <c r="C212" s="8" t="s">
        <v>734</v>
      </c>
      <c r="D212" s="8" t="s">
        <v>94</v>
      </c>
      <c r="E212" s="8" t="s">
        <v>801</v>
      </c>
      <c r="F212" s="8" t="s">
        <v>802</v>
      </c>
      <c r="G212" s="8" t="s">
        <v>791</v>
      </c>
      <c r="H212" s="8" t="s">
        <v>6</v>
      </c>
      <c r="I212" s="8"/>
      <c r="J212" s="9"/>
      <c r="K212" s="8"/>
    </row>
    <row r="213" customFormat="false" ht="28.35" hidden="false" customHeight="false" outlineLevel="0" collapsed="false">
      <c r="A213" s="8" t="s">
        <v>803</v>
      </c>
      <c r="B213" s="8" t="s">
        <v>20</v>
      </c>
      <c r="C213" s="8" t="s">
        <v>734</v>
      </c>
      <c r="D213" s="8" t="s">
        <v>94</v>
      </c>
      <c r="E213" s="8" t="s">
        <v>804</v>
      </c>
      <c r="F213" s="8" t="s">
        <v>217</v>
      </c>
      <c r="G213" s="8" t="s">
        <v>791</v>
      </c>
      <c r="H213" s="8" t="s">
        <v>6</v>
      </c>
      <c r="I213" s="8"/>
      <c r="J213" s="9"/>
      <c r="K213" s="8"/>
    </row>
    <row r="214" customFormat="false" ht="28.35" hidden="false" customHeight="false" outlineLevel="0" collapsed="false">
      <c r="A214" s="8" t="s">
        <v>805</v>
      </c>
      <c r="B214" s="8" t="s">
        <v>20</v>
      </c>
      <c r="C214" s="8" t="s">
        <v>734</v>
      </c>
      <c r="D214" s="8" t="s">
        <v>94</v>
      </c>
      <c r="E214" s="8" t="s">
        <v>806</v>
      </c>
      <c r="F214" s="8" t="s">
        <v>807</v>
      </c>
      <c r="G214" s="8"/>
      <c r="H214" s="8" t="s">
        <v>6</v>
      </c>
      <c r="I214" s="8"/>
      <c r="J214" s="9"/>
      <c r="K214" s="8"/>
    </row>
    <row r="215" customFormat="false" ht="28.35" hidden="false" customHeight="false" outlineLevel="0" collapsed="false">
      <c r="A215" s="8" t="s">
        <v>808</v>
      </c>
      <c r="B215" s="8" t="s">
        <v>21</v>
      </c>
      <c r="C215" s="8" t="s">
        <v>809</v>
      </c>
      <c r="D215" s="8" t="s">
        <v>193</v>
      </c>
      <c r="E215" s="8" t="s">
        <v>810</v>
      </c>
      <c r="F215" s="8" t="s">
        <v>811</v>
      </c>
      <c r="G215" s="8" t="s">
        <v>812</v>
      </c>
      <c r="H215" s="8" t="s">
        <v>6</v>
      </c>
      <c r="I215" s="8"/>
      <c r="J215" s="9"/>
      <c r="K215" s="8"/>
    </row>
    <row r="216" customFormat="false" ht="28.35" hidden="false" customHeight="false" outlineLevel="0" collapsed="false">
      <c r="A216" s="8" t="s">
        <v>813</v>
      </c>
      <c r="B216" s="8" t="s">
        <v>21</v>
      </c>
      <c r="C216" s="8" t="s">
        <v>809</v>
      </c>
      <c r="D216" s="8" t="s">
        <v>193</v>
      </c>
      <c r="E216" s="8" t="s">
        <v>814</v>
      </c>
      <c r="F216" s="8" t="s">
        <v>815</v>
      </c>
      <c r="G216" s="8"/>
      <c r="H216" s="8" t="s">
        <v>6</v>
      </c>
      <c r="I216" s="8"/>
      <c r="J216" s="9"/>
      <c r="K216" s="8"/>
    </row>
    <row r="217" customFormat="false" ht="28.35" hidden="false" customHeight="false" outlineLevel="0" collapsed="false">
      <c r="A217" s="8" t="s">
        <v>816</v>
      </c>
      <c r="B217" s="8" t="s">
        <v>21</v>
      </c>
      <c r="C217" s="8" t="s">
        <v>809</v>
      </c>
      <c r="D217" s="8" t="s">
        <v>193</v>
      </c>
      <c r="E217" s="8" t="s">
        <v>817</v>
      </c>
      <c r="F217" s="8" t="s">
        <v>818</v>
      </c>
      <c r="G217" s="8" t="s">
        <v>819</v>
      </c>
      <c r="H217" s="8" t="s">
        <v>6</v>
      </c>
      <c r="I217" s="8"/>
      <c r="J217" s="9"/>
      <c r="K217" s="8"/>
    </row>
    <row r="218" customFormat="false" ht="28.35" hidden="false" customHeight="false" outlineLevel="0" collapsed="false">
      <c r="A218" s="8" t="s">
        <v>820</v>
      </c>
      <c r="B218" s="8" t="s">
        <v>21</v>
      </c>
      <c r="C218" s="8" t="s">
        <v>809</v>
      </c>
      <c r="D218" s="8" t="s">
        <v>193</v>
      </c>
      <c r="E218" s="8" t="s">
        <v>821</v>
      </c>
      <c r="F218" s="8" t="s">
        <v>822</v>
      </c>
      <c r="G218" s="8" t="s">
        <v>823</v>
      </c>
      <c r="H218" s="8" t="s">
        <v>6</v>
      </c>
      <c r="I218" s="8"/>
      <c r="J218" s="9"/>
      <c r="K218" s="8"/>
    </row>
    <row r="219" customFormat="false" ht="28.35" hidden="false" customHeight="false" outlineLevel="0" collapsed="false">
      <c r="A219" s="8" t="s">
        <v>824</v>
      </c>
      <c r="B219" s="8" t="s">
        <v>21</v>
      </c>
      <c r="C219" s="8" t="s">
        <v>809</v>
      </c>
      <c r="D219" s="8" t="s">
        <v>193</v>
      </c>
      <c r="E219" s="8" t="s">
        <v>825</v>
      </c>
      <c r="F219" s="8" t="s">
        <v>826</v>
      </c>
      <c r="G219" s="8" t="s">
        <v>823</v>
      </c>
      <c r="H219" s="8" t="s">
        <v>6</v>
      </c>
      <c r="I219" s="8"/>
      <c r="J219" s="9"/>
      <c r="K219" s="8"/>
    </row>
    <row r="220" customFormat="false" ht="28.35" hidden="false" customHeight="false" outlineLevel="0" collapsed="false">
      <c r="A220" s="8" t="s">
        <v>827</v>
      </c>
      <c r="B220" s="8" t="s">
        <v>21</v>
      </c>
      <c r="C220" s="8" t="s">
        <v>809</v>
      </c>
      <c r="D220" s="8" t="s">
        <v>193</v>
      </c>
      <c r="E220" s="8" t="s">
        <v>828</v>
      </c>
      <c r="F220" s="8" t="s">
        <v>829</v>
      </c>
      <c r="G220" s="8" t="s">
        <v>823</v>
      </c>
      <c r="H220" s="8" t="s">
        <v>6</v>
      </c>
      <c r="I220" s="8"/>
      <c r="J220" s="9"/>
      <c r="K220" s="8"/>
    </row>
    <row r="221" customFormat="false" ht="28.35" hidden="false" customHeight="false" outlineLevel="0" collapsed="false">
      <c r="A221" s="8" t="s">
        <v>830</v>
      </c>
      <c r="B221" s="8" t="s">
        <v>21</v>
      </c>
      <c r="C221" s="8" t="s">
        <v>809</v>
      </c>
      <c r="D221" s="8" t="s">
        <v>193</v>
      </c>
      <c r="E221" s="8" t="s">
        <v>831</v>
      </c>
      <c r="F221" s="8" t="s">
        <v>832</v>
      </c>
      <c r="G221" s="8" t="s">
        <v>823</v>
      </c>
      <c r="H221" s="8" t="s">
        <v>6</v>
      </c>
      <c r="I221" s="8"/>
      <c r="J221" s="9"/>
      <c r="K221" s="8"/>
    </row>
    <row r="222" customFormat="false" ht="41.75" hidden="false" customHeight="false" outlineLevel="0" collapsed="false">
      <c r="A222" s="8" t="s">
        <v>833</v>
      </c>
      <c r="B222" s="8" t="s">
        <v>21</v>
      </c>
      <c r="C222" s="8" t="s">
        <v>809</v>
      </c>
      <c r="D222" s="8" t="s">
        <v>193</v>
      </c>
      <c r="E222" s="8" t="s">
        <v>834</v>
      </c>
      <c r="F222" s="8" t="s">
        <v>835</v>
      </c>
      <c r="G222" s="8" t="s">
        <v>836</v>
      </c>
      <c r="H222" s="8" t="s">
        <v>6</v>
      </c>
      <c r="I222" s="8"/>
      <c r="J222" s="9"/>
      <c r="K222" s="8"/>
    </row>
    <row r="223" customFormat="false" ht="28.35" hidden="false" customHeight="false" outlineLevel="0" collapsed="false">
      <c r="A223" s="8" t="s">
        <v>837</v>
      </c>
      <c r="B223" s="8" t="s">
        <v>21</v>
      </c>
      <c r="C223" s="8" t="s">
        <v>809</v>
      </c>
      <c r="D223" s="8" t="s">
        <v>193</v>
      </c>
      <c r="E223" s="8" t="s">
        <v>838</v>
      </c>
      <c r="F223" s="8" t="s">
        <v>839</v>
      </c>
      <c r="G223" s="8"/>
      <c r="H223" s="8" t="s">
        <v>6</v>
      </c>
      <c r="I223" s="8"/>
      <c r="J223" s="9"/>
      <c r="K223" s="8"/>
    </row>
    <row r="224" customFormat="false" ht="28.35" hidden="false" customHeight="false" outlineLevel="0" collapsed="false">
      <c r="A224" s="8" t="s">
        <v>840</v>
      </c>
      <c r="B224" s="8" t="s">
        <v>21</v>
      </c>
      <c r="C224" s="8" t="s">
        <v>809</v>
      </c>
      <c r="D224" s="8" t="s">
        <v>193</v>
      </c>
      <c r="E224" s="8" t="s">
        <v>841</v>
      </c>
      <c r="F224" s="8" t="s">
        <v>842</v>
      </c>
      <c r="G224" s="8" t="s">
        <v>558</v>
      </c>
      <c r="H224" s="8" t="s">
        <v>6</v>
      </c>
      <c r="I224" s="8"/>
      <c r="J224" s="9"/>
      <c r="K224" s="8"/>
    </row>
    <row r="225" customFormat="false" ht="28.35" hidden="false" customHeight="false" outlineLevel="0" collapsed="false">
      <c r="A225" s="8" t="s">
        <v>843</v>
      </c>
      <c r="B225" s="8" t="s">
        <v>21</v>
      </c>
      <c r="C225" s="8" t="s">
        <v>809</v>
      </c>
      <c r="D225" s="8" t="s">
        <v>193</v>
      </c>
      <c r="E225" s="8" t="s">
        <v>844</v>
      </c>
      <c r="F225" s="8" t="s">
        <v>845</v>
      </c>
      <c r="G225" s="8" t="s">
        <v>558</v>
      </c>
      <c r="H225" s="8" t="s">
        <v>6</v>
      </c>
      <c r="I225" s="8"/>
      <c r="J225" s="9"/>
      <c r="K225" s="8"/>
    </row>
    <row r="226" customFormat="false" ht="28.35" hidden="false" customHeight="false" outlineLevel="0" collapsed="false">
      <c r="A226" s="8" t="s">
        <v>846</v>
      </c>
      <c r="B226" s="8" t="s">
        <v>21</v>
      </c>
      <c r="C226" s="8" t="s">
        <v>809</v>
      </c>
      <c r="D226" s="8" t="s">
        <v>193</v>
      </c>
      <c r="E226" s="8" t="s">
        <v>847</v>
      </c>
      <c r="F226" s="8" t="s">
        <v>845</v>
      </c>
      <c r="G226" s="8" t="s">
        <v>558</v>
      </c>
      <c r="H226" s="8" t="s">
        <v>6</v>
      </c>
      <c r="I226" s="8"/>
      <c r="J226" s="9"/>
      <c r="K226" s="8"/>
    </row>
    <row r="227" customFormat="false" ht="28.35" hidden="false" customHeight="false" outlineLevel="0" collapsed="false">
      <c r="A227" s="8" t="s">
        <v>848</v>
      </c>
      <c r="B227" s="8" t="s">
        <v>21</v>
      </c>
      <c r="C227" s="8" t="s">
        <v>809</v>
      </c>
      <c r="D227" s="8" t="s">
        <v>193</v>
      </c>
      <c r="E227" s="8" t="s">
        <v>849</v>
      </c>
      <c r="F227" s="8" t="s">
        <v>850</v>
      </c>
      <c r="G227" s="8" t="s">
        <v>558</v>
      </c>
      <c r="H227" s="8" t="s">
        <v>6</v>
      </c>
      <c r="I227" s="8"/>
      <c r="J227" s="9"/>
      <c r="K227" s="8"/>
    </row>
    <row r="228" customFormat="false" ht="28.35" hidden="false" customHeight="false" outlineLevel="0" collapsed="false">
      <c r="A228" s="8" t="s">
        <v>851</v>
      </c>
      <c r="B228" s="8" t="s">
        <v>21</v>
      </c>
      <c r="C228" s="8" t="s">
        <v>809</v>
      </c>
      <c r="D228" s="8" t="s">
        <v>193</v>
      </c>
      <c r="E228" s="8" t="s">
        <v>852</v>
      </c>
      <c r="F228" s="8" t="s">
        <v>853</v>
      </c>
      <c r="G228" s="8" t="s">
        <v>566</v>
      </c>
      <c r="H228" s="8" t="s">
        <v>6</v>
      </c>
      <c r="I228" s="8"/>
      <c r="J228" s="9"/>
      <c r="K228" s="8"/>
    </row>
    <row r="229" customFormat="false" ht="28.35" hidden="false" customHeight="false" outlineLevel="0" collapsed="false">
      <c r="A229" s="8" t="s">
        <v>854</v>
      </c>
      <c r="B229" s="8" t="s">
        <v>21</v>
      </c>
      <c r="C229" s="8" t="s">
        <v>809</v>
      </c>
      <c r="D229" s="8" t="s">
        <v>193</v>
      </c>
      <c r="E229" s="8" t="s">
        <v>855</v>
      </c>
      <c r="F229" s="8" t="s">
        <v>856</v>
      </c>
      <c r="G229" s="8" t="s">
        <v>562</v>
      </c>
      <c r="H229" s="8" t="s">
        <v>6</v>
      </c>
      <c r="I229" s="8"/>
      <c r="J229" s="9"/>
      <c r="K229" s="8"/>
    </row>
    <row r="230" customFormat="false" ht="28.35" hidden="false" customHeight="false" outlineLevel="0" collapsed="false">
      <c r="A230" s="8" t="s">
        <v>857</v>
      </c>
      <c r="B230" s="8" t="s">
        <v>21</v>
      </c>
      <c r="C230" s="8" t="s">
        <v>809</v>
      </c>
      <c r="D230" s="8" t="s">
        <v>193</v>
      </c>
      <c r="E230" s="8" t="s">
        <v>858</v>
      </c>
      <c r="F230" s="8" t="s">
        <v>859</v>
      </c>
      <c r="G230" s="8" t="s">
        <v>503</v>
      </c>
      <c r="H230" s="8" t="s">
        <v>6</v>
      </c>
      <c r="I230" s="8"/>
      <c r="J230" s="9"/>
      <c r="K230" s="8"/>
    </row>
    <row r="231" customFormat="false" ht="28.35" hidden="false" customHeight="false" outlineLevel="0" collapsed="false">
      <c r="A231" s="8" t="s">
        <v>860</v>
      </c>
      <c r="B231" s="8" t="s">
        <v>21</v>
      </c>
      <c r="C231" s="8" t="s">
        <v>809</v>
      </c>
      <c r="D231" s="8" t="s">
        <v>193</v>
      </c>
      <c r="E231" s="8" t="s">
        <v>861</v>
      </c>
      <c r="F231" s="8" t="s">
        <v>217</v>
      </c>
      <c r="G231" s="8"/>
      <c r="H231" s="8" t="s">
        <v>6</v>
      </c>
      <c r="I231" s="8"/>
      <c r="J231" s="9"/>
      <c r="K231" s="8"/>
    </row>
    <row r="232" customFormat="false" ht="28.35" hidden="false" customHeight="false" outlineLevel="0" collapsed="false">
      <c r="A232" s="8" t="s">
        <v>862</v>
      </c>
      <c r="B232" s="8" t="s">
        <v>21</v>
      </c>
      <c r="C232" s="8" t="s">
        <v>809</v>
      </c>
      <c r="D232" s="8" t="s">
        <v>193</v>
      </c>
      <c r="E232" s="8" t="s">
        <v>863</v>
      </c>
      <c r="F232" s="8" t="s">
        <v>456</v>
      </c>
      <c r="G232" s="8"/>
      <c r="H232" s="8" t="s">
        <v>6</v>
      </c>
      <c r="I232" s="8"/>
      <c r="J232" s="9"/>
      <c r="K232" s="8"/>
    </row>
    <row r="233" customFormat="false" ht="28.35" hidden="false" customHeight="false" outlineLevel="0" collapsed="false">
      <c r="A233" s="8" t="s">
        <v>864</v>
      </c>
      <c r="B233" s="8" t="s">
        <v>21</v>
      </c>
      <c r="C233" s="8" t="s">
        <v>809</v>
      </c>
      <c r="D233" s="8" t="s">
        <v>193</v>
      </c>
      <c r="E233" s="8" t="s">
        <v>865</v>
      </c>
      <c r="F233" s="8" t="s">
        <v>866</v>
      </c>
      <c r="G233" s="8" t="s">
        <v>503</v>
      </c>
      <c r="H233" s="8" t="s">
        <v>6</v>
      </c>
      <c r="I233" s="8"/>
      <c r="J233" s="9"/>
      <c r="K233" s="8"/>
    </row>
    <row r="234" customFormat="false" ht="28.35" hidden="false" customHeight="false" outlineLevel="0" collapsed="false">
      <c r="A234" s="8" t="s">
        <v>867</v>
      </c>
      <c r="B234" s="8" t="s">
        <v>21</v>
      </c>
      <c r="C234" s="8" t="s">
        <v>809</v>
      </c>
      <c r="D234" s="8" t="s">
        <v>193</v>
      </c>
      <c r="E234" s="8" t="s">
        <v>868</v>
      </c>
      <c r="F234" s="8" t="s">
        <v>869</v>
      </c>
      <c r="G234" s="8" t="s">
        <v>870</v>
      </c>
      <c r="H234" s="8" t="s">
        <v>6</v>
      </c>
      <c r="I234" s="8"/>
      <c r="J234" s="9"/>
      <c r="K234" s="8"/>
    </row>
    <row r="235" customFormat="false" ht="41.75" hidden="false" customHeight="false" outlineLevel="0" collapsed="false">
      <c r="A235" s="8" t="s">
        <v>871</v>
      </c>
      <c r="B235" s="8" t="s">
        <v>21</v>
      </c>
      <c r="C235" s="8" t="s">
        <v>809</v>
      </c>
      <c r="D235" s="8" t="s">
        <v>193</v>
      </c>
      <c r="E235" s="8" t="s">
        <v>872</v>
      </c>
      <c r="F235" s="8" t="s">
        <v>873</v>
      </c>
      <c r="G235" s="8" t="s">
        <v>570</v>
      </c>
      <c r="H235" s="8" t="s">
        <v>6</v>
      </c>
      <c r="I235" s="8"/>
      <c r="J235" s="9"/>
      <c r="K235" s="8"/>
    </row>
    <row r="236" customFormat="false" ht="28.35" hidden="false" customHeight="false" outlineLevel="0" collapsed="false">
      <c r="A236" s="8" t="s">
        <v>874</v>
      </c>
      <c r="B236" s="8" t="s">
        <v>21</v>
      </c>
      <c r="C236" s="8" t="s">
        <v>809</v>
      </c>
      <c r="D236" s="8" t="s">
        <v>193</v>
      </c>
      <c r="E236" s="8" t="s">
        <v>875</v>
      </c>
      <c r="F236" s="8" t="s">
        <v>217</v>
      </c>
      <c r="G236" s="8" t="s">
        <v>570</v>
      </c>
      <c r="H236" s="8" t="s">
        <v>6</v>
      </c>
      <c r="I236" s="8"/>
      <c r="J236" s="9"/>
      <c r="K236" s="8"/>
    </row>
    <row r="237" customFormat="false" ht="28.35" hidden="false" customHeight="false" outlineLevel="0" collapsed="false">
      <c r="A237" s="8" t="s">
        <v>876</v>
      </c>
      <c r="B237" s="8" t="s">
        <v>21</v>
      </c>
      <c r="C237" s="8" t="s">
        <v>809</v>
      </c>
      <c r="D237" s="8" t="s">
        <v>193</v>
      </c>
      <c r="E237" s="8" t="s">
        <v>877</v>
      </c>
      <c r="F237" s="8" t="s">
        <v>878</v>
      </c>
      <c r="G237" s="8" t="s">
        <v>879</v>
      </c>
      <c r="H237" s="8" t="s">
        <v>6</v>
      </c>
      <c r="I237" s="8"/>
      <c r="J237" s="9"/>
      <c r="K237" s="8"/>
    </row>
    <row r="238" customFormat="false" ht="28.35" hidden="false" customHeight="false" outlineLevel="0" collapsed="false">
      <c r="A238" s="8" t="s">
        <v>880</v>
      </c>
      <c r="B238" s="8" t="s">
        <v>21</v>
      </c>
      <c r="C238" s="8" t="s">
        <v>809</v>
      </c>
      <c r="D238" s="8" t="s">
        <v>193</v>
      </c>
      <c r="E238" s="8" t="s">
        <v>881</v>
      </c>
      <c r="F238" s="8" t="s">
        <v>882</v>
      </c>
      <c r="G238" s="8" t="s">
        <v>883</v>
      </c>
      <c r="H238" s="8" t="s">
        <v>6</v>
      </c>
      <c r="I238" s="8"/>
      <c r="J238" s="9"/>
      <c r="K238" s="8"/>
    </row>
    <row r="239" customFormat="false" ht="28.35" hidden="false" customHeight="false" outlineLevel="0" collapsed="false">
      <c r="A239" s="8" t="s">
        <v>884</v>
      </c>
      <c r="B239" s="8" t="s">
        <v>22</v>
      </c>
      <c r="C239" s="8" t="s">
        <v>885</v>
      </c>
      <c r="D239" s="8" t="s">
        <v>193</v>
      </c>
      <c r="E239" s="8" t="s">
        <v>886</v>
      </c>
      <c r="F239" s="8" t="s">
        <v>887</v>
      </c>
      <c r="G239" s="8" t="s">
        <v>819</v>
      </c>
      <c r="H239" s="8" t="s">
        <v>6</v>
      </c>
      <c r="I239" s="8"/>
      <c r="J239" s="9"/>
      <c r="K239" s="8"/>
    </row>
    <row r="240" customFormat="false" ht="28.35" hidden="false" customHeight="false" outlineLevel="0" collapsed="false">
      <c r="A240" s="8" t="s">
        <v>888</v>
      </c>
      <c r="B240" s="8" t="s">
        <v>22</v>
      </c>
      <c r="C240" s="8" t="s">
        <v>885</v>
      </c>
      <c r="D240" s="8" t="s">
        <v>193</v>
      </c>
      <c r="E240" s="8" t="s">
        <v>889</v>
      </c>
      <c r="F240" s="8" t="s">
        <v>890</v>
      </c>
      <c r="G240" s="8" t="s">
        <v>819</v>
      </c>
      <c r="H240" s="8" t="s">
        <v>6</v>
      </c>
      <c r="I240" s="8"/>
      <c r="J240" s="9"/>
      <c r="K240" s="8"/>
    </row>
    <row r="241" customFormat="false" ht="28.35" hidden="false" customHeight="false" outlineLevel="0" collapsed="false">
      <c r="A241" s="8" t="s">
        <v>891</v>
      </c>
      <c r="B241" s="8" t="s">
        <v>22</v>
      </c>
      <c r="C241" s="8" t="s">
        <v>885</v>
      </c>
      <c r="D241" s="8" t="s">
        <v>193</v>
      </c>
      <c r="E241" s="8" t="s">
        <v>892</v>
      </c>
      <c r="F241" s="8" t="s">
        <v>893</v>
      </c>
      <c r="G241" s="8" t="s">
        <v>819</v>
      </c>
      <c r="H241" s="8" t="s">
        <v>6</v>
      </c>
      <c r="I241" s="8"/>
      <c r="J241" s="9"/>
      <c r="K241" s="8"/>
    </row>
    <row r="242" customFormat="false" ht="28.35" hidden="false" customHeight="false" outlineLevel="0" collapsed="false">
      <c r="A242" s="8" t="s">
        <v>894</v>
      </c>
      <c r="B242" s="8" t="s">
        <v>22</v>
      </c>
      <c r="C242" s="8" t="s">
        <v>885</v>
      </c>
      <c r="D242" s="8" t="s">
        <v>193</v>
      </c>
      <c r="E242" s="8" t="s">
        <v>895</v>
      </c>
      <c r="F242" s="8" t="s">
        <v>896</v>
      </c>
      <c r="G242" s="8" t="s">
        <v>819</v>
      </c>
      <c r="H242" s="8" t="s">
        <v>6</v>
      </c>
      <c r="I242" s="8"/>
      <c r="J242" s="9"/>
      <c r="K242" s="8"/>
    </row>
    <row r="243" customFormat="false" ht="28.35" hidden="false" customHeight="false" outlineLevel="0" collapsed="false">
      <c r="A243" s="8" t="s">
        <v>897</v>
      </c>
      <c r="B243" s="8" t="s">
        <v>22</v>
      </c>
      <c r="C243" s="8" t="s">
        <v>885</v>
      </c>
      <c r="D243" s="8" t="s">
        <v>193</v>
      </c>
      <c r="E243" s="8" t="s">
        <v>898</v>
      </c>
      <c r="F243" s="8" t="s">
        <v>899</v>
      </c>
      <c r="G243" s="8"/>
      <c r="H243" s="8" t="s">
        <v>6</v>
      </c>
      <c r="I243" s="8"/>
      <c r="J243" s="9"/>
      <c r="K243" s="8"/>
    </row>
    <row r="244" customFormat="false" ht="28.35" hidden="false" customHeight="false" outlineLevel="0" collapsed="false">
      <c r="A244" s="8" t="s">
        <v>900</v>
      </c>
      <c r="B244" s="8" t="s">
        <v>22</v>
      </c>
      <c r="C244" s="8" t="s">
        <v>885</v>
      </c>
      <c r="D244" s="8" t="s">
        <v>193</v>
      </c>
      <c r="E244" s="8" t="s">
        <v>901</v>
      </c>
      <c r="F244" s="8" t="s">
        <v>902</v>
      </c>
      <c r="G244" s="8"/>
      <c r="H244" s="8" t="s">
        <v>6</v>
      </c>
      <c r="I244" s="8"/>
      <c r="J244" s="9"/>
      <c r="K244" s="8"/>
    </row>
    <row r="245" customFormat="false" ht="28.35" hidden="false" customHeight="false" outlineLevel="0" collapsed="false">
      <c r="A245" s="8" t="s">
        <v>903</v>
      </c>
      <c r="B245" s="8" t="s">
        <v>22</v>
      </c>
      <c r="C245" s="8" t="s">
        <v>885</v>
      </c>
      <c r="D245" s="8" t="s">
        <v>193</v>
      </c>
      <c r="E245" s="8" t="s">
        <v>904</v>
      </c>
      <c r="F245" s="8" t="s">
        <v>905</v>
      </c>
      <c r="G245" s="8"/>
      <c r="H245" s="8" t="s">
        <v>6</v>
      </c>
      <c r="I245" s="8"/>
      <c r="J245" s="9"/>
      <c r="K245" s="8"/>
    </row>
    <row r="246" customFormat="false" ht="28.35" hidden="false" customHeight="false" outlineLevel="0" collapsed="false">
      <c r="A246" s="8" t="s">
        <v>906</v>
      </c>
      <c r="B246" s="8" t="s">
        <v>22</v>
      </c>
      <c r="C246" s="8" t="s">
        <v>885</v>
      </c>
      <c r="D246" s="8" t="s">
        <v>193</v>
      </c>
      <c r="E246" s="8" t="s">
        <v>907</v>
      </c>
      <c r="F246" s="8" t="s">
        <v>908</v>
      </c>
      <c r="G246" s="8" t="s">
        <v>442</v>
      </c>
      <c r="H246" s="8" t="s">
        <v>6</v>
      </c>
      <c r="I246" s="8"/>
      <c r="J246" s="9"/>
      <c r="K246" s="8"/>
    </row>
    <row r="247" customFormat="false" ht="28.35" hidden="false" customHeight="false" outlineLevel="0" collapsed="false">
      <c r="A247" s="8" t="s">
        <v>909</v>
      </c>
      <c r="B247" s="8" t="s">
        <v>22</v>
      </c>
      <c r="C247" s="8" t="s">
        <v>885</v>
      </c>
      <c r="D247" s="8" t="s">
        <v>193</v>
      </c>
      <c r="E247" s="8" t="s">
        <v>910</v>
      </c>
      <c r="F247" s="8" t="s">
        <v>911</v>
      </c>
      <c r="G247" s="8"/>
      <c r="H247" s="8" t="s">
        <v>6</v>
      </c>
      <c r="I247" s="8"/>
      <c r="J247" s="9"/>
      <c r="K247" s="8"/>
    </row>
    <row r="248" customFormat="false" ht="28.35" hidden="false" customHeight="false" outlineLevel="0" collapsed="false">
      <c r="A248" s="8" t="s">
        <v>912</v>
      </c>
      <c r="B248" s="8" t="s">
        <v>22</v>
      </c>
      <c r="C248" s="8" t="s">
        <v>885</v>
      </c>
      <c r="D248" s="8" t="s">
        <v>193</v>
      </c>
      <c r="E248" s="8" t="s">
        <v>913</v>
      </c>
      <c r="F248" s="8" t="s">
        <v>914</v>
      </c>
      <c r="G248" s="8" t="s">
        <v>915</v>
      </c>
      <c r="H248" s="8" t="s">
        <v>6</v>
      </c>
      <c r="I248" s="8"/>
      <c r="J248" s="9"/>
      <c r="K248" s="8"/>
    </row>
    <row r="249" customFormat="false" ht="28.35" hidden="false" customHeight="false" outlineLevel="0" collapsed="false">
      <c r="A249" s="8" t="s">
        <v>916</v>
      </c>
      <c r="B249" s="8" t="s">
        <v>22</v>
      </c>
      <c r="C249" s="8" t="s">
        <v>885</v>
      </c>
      <c r="D249" s="8" t="s">
        <v>193</v>
      </c>
      <c r="E249" s="8" t="s">
        <v>917</v>
      </c>
      <c r="F249" s="8" t="s">
        <v>918</v>
      </c>
      <c r="G249" s="8" t="s">
        <v>919</v>
      </c>
      <c r="H249" s="8" t="s">
        <v>6</v>
      </c>
      <c r="I249" s="8"/>
      <c r="J249" s="9"/>
      <c r="K249" s="8"/>
    </row>
    <row r="250" customFormat="false" ht="28.35" hidden="false" customHeight="false" outlineLevel="0" collapsed="false">
      <c r="A250" s="8" t="s">
        <v>920</v>
      </c>
      <c r="B250" s="8" t="s">
        <v>22</v>
      </c>
      <c r="C250" s="8" t="s">
        <v>885</v>
      </c>
      <c r="D250" s="8" t="s">
        <v>193</v>
      </c>
      <c r="E250" s="8" t="s">
        <v>921</v>
      </c>
      <c r="F250" s="8" t="s">
        <v>922</v>
      </c>
      <c r="G250" s="8"/>
      <c r="H250" s="8" t="s">
        <v>6</v>
      </c>
      <c r="I250" s="8"/>
      <c r="J250" s="9"/>
      <c r="K250" s="8"/>
    </row>
    <row r="251" customFormat="false" ht="28.35" hidden="false" customHeight="false" outlineLevel="0" collapsed="false">
      <c r="A251" s="8" t="s">
        <v>923</v>
      </c>
      <c r="B251" s="8" t="s">
        <v>22</v>
      </c>
      <c r="C251" s="8" t="s">
        <v>885</v>
      </c>
      <c r="D251" s="8" t="s">
        <v>193</v>
      </c>
      <c r="E251" s="8" t="s">
        <v>924</v>
      </c>
      <c r="F251" s="8" t="s">
        <v>925</v>
      </c>
      <c r="G251" s="8" t="s">
        <v>550</v>
      </c>
      <c r="H251" s="8" t="s">
        <v>6</v>
      </c>
      <c r="I251" s="8"/>
      <c r="J251" s="9"/>
      <c r="K251" s="8"/>
    </row>
    <row r="252" customFormat="false" ht="28.35" hidden="false" customHeight="false" outlineLevel="0" collapsed="false">
      <c r="A252" s="8" t="s">
        <v>926</v>
      </c>
      <c r="B252" s="8" t="s">
        <v>22</v>
      </c>
      <c r="C252" s="8" t="s">
        <v>885</v>
      </c>
      <c r="D252" s="8" t="s">
        <v>193</v>
      </c>
      <c r="E252" s="8" t="s">
        <v>927</v>
      </c>
      <c r="F252" s="8" t="s">
        <v>928</v>
      </c>
      <c r="G252" s="8" t="s">
        <v>578</v>
      </c>
      <c r="H252" s="8" t="s">
        <v>6</v>
      </c>
      <c r="I252" s="8"/>
      <c r="J252" s="9"/>
      <c r="K252" s="8"/>
    </row>
    <row r="253" customFormat="false" ht="28.35" hidden="false" customHeight="false" outlineLevel="0" collapsed="false">
      <c r="A253" s="8" t="s">
        <v>929</v>
      </c>
      <c r="B253" s="8" t="s">
        <v>22</v>
      </c>
      <c r="C253" s="8" t="s">
        <v>885</v>
      </c>
      <c r="D253" s="8" t="s">
        <v>193</v>
      </c>
      <c r="E253" s="8" t="s">
        <v>930</v>
      </c>
      <c r="F253" s="8" t="s">
        <v>931</v>
      </c>
      <c r="G253" s="8"/>
      <c r="H253" s="8" t="s">
        <v>6</v>
      </c>
      <c r="I253" s="8"/>
      <c r="J253" s="9"/>
      <c r="K253" s="8"/>
    </row>
    <row r="254" customFormat="false" ht="28.35" hidden="false" customHeight="false" outlineLevel="0" collapsed="false">
      <c r="A254" s="8" t="s">
        <v>932</v>
      </c>
      <c r="B254" s="8" t="s">
        <v>22</v>
      </c>
      <c r="C254" s="8" t="s">
        <v>885</v>
      </c>
      <c r="D254" s="8" t="s">
        <v>193</v>
      </c>
      <c r="E254" s="8" t="s">
        <v>933</v>
      </c>
      <c r="F254" s="8" t="s">
        <v>934</v>
      </c>
      <c r="G254" s="8" t="s">
        <v>530</v>
      </c>
      <c r="H254" s="8" t="s">
        <v>6</v>
      </c>
      <c r="I254" s="8"/>
      <c r="J254" s="9"/>
      <c r="K254" s="8"/>
    </row>
    <row r="255" customFormat="false" ht="28.35" hidden="false" customHeight="false" outlineLevel="0" collapsed="false">
      <c r="A255" s="8" t="s">
        <v>935</v>
      </c>
      <c r="B255" s="8" t="s">
        <v>23</v>
      </c>
      <c r="C255" s="8" t="s">
        <v>936</v>
      </c>
      <c r="D255" s="8" t="s">
        <v>193</v>
      </c>
      <c r="E255" s="8" t="s">
        <v>937</v>
      </c>
      <c r="F255" s="8" t="s">
        <v>938</v>
      </c>
      <c r="G255" s="8"/>
      <c r="H255" s="8" t="s">
        <v>6</v>
      </c>
      <c r="I255" s="8"/>
      <c r="J255" s="9"/>
      <c r="K255" s="8"/>
    </row>
    <row r="256" customFormat="false" ht="28.35" hidden="false" customHeight="false" outlineLevel="0" collapsed="false">
      <c r="A256" s="8" t="s">
        <v>939</v>
      </c>
      <c r="B256" s="8" t="s">
        <v>23</v>
      </c>
      <c r="C256" s="8" t="s">
        <v>936</v>
      </c>
      <c r="D256" s="8" t="s">
        <v>193</v>
      </c>
      <c r="E256" s="8" t="s">
        <v>940</v>
      </c>
      <c r="F256" s="8" t="s">
        <v>941</v>
      </c>
      <c r="G256" s="8"/>
      <c r="H256" s="8" t="s">
        <v>6</v>
      </c>
      <c r="I256" s="8"/>
      <c r="J256" s="9"/>
      <c r="K256" s="8"/>
    </row>
    <row r="257" customFormat="false" ht="28.35" hidden="false" customHeight="false" outlineLevel="0" collapsed="false">
      <c r="A257" s="8" t="s">
        <v>942</v>
      </c>
      <c r="B257" s="8" t="s">
        <v>23</v>
      </c>
      <c r="C257" s="8" t="s">
        <v>936</v>
      </c>
      <c r="D257" s="8" t="s">
        <v>193</v>
      </c>
      <c r="E257" s="8" t="s">
        <v>943</v>
      </c>
      <c r="F257" s="8" t="s">
        <v>941</v>
      </c>
      <c r="G257" s="8"/>
      <c r="H257" s="8" t="s">
        <v>6</v>
      </c>
      <c r="I257" s="8"/>
      <c r="J257" s="9"/>
      <c r="K257" s="8"/>
    </row>
    <row r="258" customFormat="false" ht="28.35" hidden="false" customHeight="false" outlineLevel="0" collapsed="false">
      <c r="A258" s="8" t="s">
        <v>944</v>
      </c>
      <c r="B258" s="8" t="s">
        <v>23</v>
      </c>
      <c r="C258" s="8" t="s">
        <v>936</v>
      </c>
      <c r="D258" s="8" t="s">
        <v>193</v>
      </c>
      <c r="E258" s="8" t="s">
        <v>945</v>
      </c>
      <c r="F258" s="8" t="s">
        <v>946</v>
      </c>
      <c r="G258" s="8"/>
      <c r="H258" s="8" t="s">
        <v>6</v>
      </c>
      <c r="I258" s="8"/>
      <c r="J258" s="9"/>
      <c r="K258" s="8"/>
    </row>
    <row r="259" customFormat="false" ht="28.35" hidden="false" customHeight="false" outlineLevel="0" collapsed="false">
      <c r="A259" s="8" t="s">
        <v>947</v>
      </c>
      <c r="B259" s="8" t="s">
        <v>23</v>
      </c>
      <c r="C259" s="8" t="s">
        <v>936</v>
      </c>
      <c r="D259" s="8" t="s">
        <v>193</v>
      </c>
      <c r="E259" s="8" t="s">
        <v>948</v>
      </c>
      <c r="F259" s="8" t="s">
        <v>949</v>
      </c>
      <c r="G259" s="8"/>
      <c r="H259" s="8" t="s">
        <v>6</v>
      </c>
      <c r="I259" s="8"/>
      <c r="J259" s="9"/>
      <c r="K259" s="8"/>
    </row>
    <row r="260" customFormat="false" ht="28.35" hidden="false" customHeight="false" outlineLevel="0" collapsed="false">
      <c r="A260" s="8" t="s">
        <v>950</v>
      </c>
      <c r="B260" s="8" t="s">
        <v>23</v>
      </c>
      <c r="C260" s="8" t="s">
        <v>936</v>
      </c>
      <c r="D260" s="8" t="s">
        <v>193</v>
      </c>
      <c r="E260" s="8" t="s">
        <v>951</v>
      </c>
      <c r="F260" s="8" t="s">
        <v>952</v>
      </c>
      <c r="G260" s="8" t="s">
        <v>791</v>
      </c>
      <c r="H260" s="8" t="s">
        <v>6</v>
      </c>
      <c r="I260" s="8"/>
      <c r="J260" s="9"/>
      <c r="K260" s="8"/>
    </row>
    <row r="261" customFormat="false" ht="28.35" hidden="false" customHeight="false" outlineLevel="0" collapsed="false">
      <c r="A261" s="8" t="s">
        <v>953</v>
      </c>
      <c r="B261" s="8" t="s">
        <v>24</v>
      </c>
      <c r="C261" s="8" t="s">
        <v>954</v>
      </c>
      <c r="D261" s="8" t="s">
        <v>94</v>
      </c>
      <c r="E261" s="8" t="s">
        <v>955</v>
      </c>
      <c r="F261" s="8" t="s">
        <v>956</v>
      </c>
      <c r="G261" s="8"/>
      <c r="H261" s="8" t="s">
        <v>6</v>
      </c>
      <c r="I261" s="8"/>
      <c r="J261" s="9"/>
      <c r="K261" s="8"/>
    </row>
    <row r="262" customFormat="false" ht="28.35" hidden="false" customHeight="false" outlineLevel="0" collapsed="false">
      <c r="A262" s="8" t="s">
        <v>957</v>
      </c>
      <c r="B262" s="8" t="s">
        <v>24</v>
      </c>
      <c r="C262" s="8" t="s">
        <v>954</v>
      </c>
      <c r="D262" s="8" t="s">
        <v>94</v>
      </c>
      <c r="E262" s="8" t="s">
        <v>958</v>
      </c>
      <c r="F262" s="8" t="s">
        <v>959</v>
      </c>
      <c r="G262" s="8"/>
      <c r="H262" s="8" t="s">
        <v>6</v>
      </c>
      <c r="I262" s="8"/>
      <c r="J262" s="9"/>
      <c r="K262" s="8"/>
    </row>
    <row r="263" customFormat="false" ht="28.35" hidden="false" customHeight="false" outlineLevel="0" collapsed="false">
      <c r="A263" s="8" t="s">
        <v>960</v>
      </c>
      <c r="B263" s="8" t="s">
        <v>24</v>
      </c>
      <c r="C263" s="8" t="s">
        <v>954</v>
      </c>
      <c r="D263" s="8" t="s">
        <v>94</v>
      </c>
      <c r="E263" s="8" t="s">
        <v>961</v>
      </c>
      <c r="F263" s="8" t="s">
        <v>962</v>
      </c>
      <c r="G263" s="8"/>
      <c r="H263" s="8" t="s">
        <v>6</v>
      </c>
      <c r="I263" s="8"/>
      <c r="J263" s="9"/>
      <c r="K263" s="8"/>
    </row>
    <row r="264" customFormat="false" ht="28.35" hidden="false" customHeight="false" outlineLevel="0" collapsed="false">
      <c r="A264" s="8" t="s">
        <v>963</v>
      </c>
      <c r="B264" s="8" t="s">
        <v>24</v>
      </c>
      <c r="C264" s="8" t="s">
        <v>954</v>
      </c>
      <c r="D264" s="8" t="s">
        <v>94</v>
      </c>
      <c r="E264" s="8" t="s">
        <v>964</v>
      </c>
      <c r="F264" s="8" t="s">
        <v>965</v>
      </c>
      <c r="G264" s="8"/>
      <c r="H264" s="8" t="s">
        <v>6</v>
      </c>
      <c r="I264" s="8"/>
      <c r="J264" s="9"/>
      <c r="K264" s="8"/>
    </row>
    <row r="265" customFormat="false" ht="28.35" hidden="false" customHeight="false" outlineLevel="0" collapsed="false">
      <c r="A265" s="8" t="s">
        <v>966</v>
      </c>
      <c r="B265" s="8" t="s">
        <v>24</v>
      </c>
      <c r="C265" s="8" t="s">
        <v>954</v>
      </c>
      <c r="D265" s="8" t="s">
        <v>94</v>
      </c>
      <c r="E265" s="8" t="s">
        <v>814</v>
      </c>
      <c r="F265" s="8" t="s">
        <v>967</v>
      </c>
      <c r="G265" s="8"/>
      <c r="H265" s="8" t="s">
        <v>6</v>
      </c>
      <c r="I265" s="8"/>
      <c r="J265" s="9"/>
      <c r="K265" s="8"/>
    </row>
    <row r="266" customFormat="false" ht="28.35" hidden="false" customHeight="false" outlineLevel="0" collapsed="false">
      <c r="A266" s="8" t="s">
        <v>968</v>
      </c>
      <c r="B266" s="8" t="s">
        <v>24</v>
      </c>
      <c r="C266" s="8" t="s">
        <v>954</v>
      </c>
      <c r="D266" s="8" t="s">
        <v>94</v>
      </c>
      <c r="E266" s="8" t="s">
        <v>969</v>
      </c>
      <c r="F266" s="8" t="s">
        <v>905</v>
      </c>
      <c r="G266" s="8"/>
      <c r="H266" s="8" t="s">
        <v>6</v>
      </c>
      <c r="I266" s="8"/>
      <c r="J266" s="9"/>
      <c r="K266" s="8"/>
    </row>
    <row r="267" customFormat="false" ht="41.75" hidden="false" customHeight="false" outlineLevel="0" collapsed="false">
      <c r="A267" s="8" t="s">
        <v>970</v>
      </c>
      <c r="B267" s="8" t="s">
        <v>24</v>
      </c>
      <c r="C267" s="8" t="s">
        <v>954</v>
      </c>
      <c r="D267" s="8" t="s">
        <v>94</v>
      </c>
      <c r="E267" s="8" t="s">
        <v>971</v>
      </c>
      <c r="F267" s="8" t="s">
        <v>972</v>
      </c>
      <c r="G267" s="8" t="s">
        <v>973</v>
      </c>
      <c r="H267" s="8" t="s">
        <v>6</v>
      </c>
      <c r="I267" s="8"/>
      <c r="J267" s="9"/>
      <c r="K267" s="8"/>
    </row>
    <row r="268" customFormat="false" ht="28.35" hidden="false" customHeight="false" outlineLevel="0" collapsed="false">
      <c r="A268" s="8" t="s">
        <v>974</v>
      </c>
      <c r="B268" s="8" t="s">
        <v>24</v>
      </c>
      <c r="C268" s="8" t="s">
        <v>954</v>
      </c>
      <c r="D268" s="8" t="s">
        <v>94</v>
      </c>
      <c r="E268" s="8" t="s">
        <v>975</v>
      </c>
      <c r="F268" s="8" t="s">
        <v>217</v>
      </c>
      <c r="G268" s="8" t="s">
        <v>973</v>
      </c>
      <c r="H268" s="8" t="s">
        <v>6</v>
      </c>
      <c r="I268" s="8"/>
      <c r="J268" s="9"/>
      <c r="K268" s="8"/>
    </row>
    <row r="269" customFormat="false" ht="28.35" hidden="false" customHeight="false" outlineLevel="0" collapsed="false">
      <c r="A269" s="8" t="s">
        <v>976</v>
      </c>
      <c r="B269" s="8" t="s">
        <v>24</v>
      </c>
      <c r="C269" s="8" t="s">
        <v>954</v>
      </c>
      <c r="D269" s="8" t="s">
        <v>94</v>
      </c>
      <c r="E269" s="8" t="s">
        <v>977</v>
      </c>
      <c r="F269" s="8" t="s">
        <v>978</v>
      </c>
      <c r="G269" s="8" t="s">
        <v>382</v>
      </c>
      <c r="H269" s="8" t="s">
        <v>6</v>
      </c>
      <c r="I269" s="8"/>
      <c r="J269" s="9"/>
      <c r="K269" s="8"/>
    </row>
    <row r="270" customFormat="false" ht="28.35" hidden="false" customHeight="false" outlineLevel="0" collapsed="false">
      <c r="A270" s="8" t="s">
        <v>979</v>
      </c>
      <c r="B270" s="8" t="s">
        <v>24</v>
      </c>
      <c r="C270" s="8" t="s">
        <v>954</v>
      </c>
      <c r="D270" s="8" t="s">
        <v>94</v>
      </c>
      <c r="E270" s="8" t="s">
        <v>980</v>
      </c>
      <c r="F270" s="8" t="s">
        <v>981</v>
      </c>
      <c r="G270" s="8"/>
      <c r="H270" s="8" t="s">
        <v>6</v>
      </c>
      <c r="I270" s="8"/>
      <c r="J270" s="9"/>
      <c r="K270" s="8"/>
    </row>
    <row r="271" customFormat="false" ht="28.35" hidden="false" customHeight="false" outlineLevel="0" collapsed="false">
      <c r="A271" s="8" t="s">
        <v>982</v>
      </c>
      <c r="B271" s="8" t="s">
        <v>24</v>
      </c>
      <c r="C271" s="8" t="s">
        <v>954</v>
      </c>
      <c r="D271" s="8" t="s">
        <v>94</v>
      </c>
      <c r="E271" s="8" t="s">
        <v>983</v>
      </c>
      <c r="F271" s="8" t="s">
        <v>984</v>
      </c>
      <c r="G271" s="8" t="s">
        <v>985</v>
      </c>
      <c r="H271" s="8" t="s">
        <v>6</v>
      </c>
      <c r="I271" s="8"/>
      <c r="J271" s="9"/>
      <c r="K271" s="8"/>
    </row>
    <row r="272" customFormat="false" ht="28.35" hidden="false" customHeight="false" outlineLevel="0" collapsed="false">
      <c r="A272" s="8" t="s">
        <v>986</v>
      </c>
      <c r="B272" s="8" t="s">
        <v>24</v>
      </c>
      <c r="C272" s="8" t="s">
        <v>954</v>
      </c>
      <c r="D272" s="8" t="s">
        <v>94</v>
      </c>
      <c r="E272" s="8" t="s">
        <v>987</v>
      </c>
      <c r="F272" s="8" t="s">
        <v>988</v>
      </c>
      <c r="G272" s="8" t="s">
        <v>989</v>
      </c>
      <c r="H272" s="8" t="s">
        <v>6</v>
      </c>
      <c r="I272" s="8"/>
      <c r="J272" s="9"/>
      <c r="K272" s="8"/>
    </row>
    <row r="273" customFormat="false" ht="15" hidden="false" customHeight="false" outlineLevel="0" collapsed="false">
      <c r="A273" s="8" t="s">
        <v>990</v>
      </c>
      <c r="B273" s="8" t="s">
        <v>24</v>
      </c>
      <c r="C273" s="8" t="s">
        <v>954</v>
      </c>
      <c r="D273" s="8" t="s">
        <v>193</v>
      </c>
      <c r="E273" s="8" t="s">
        <v>991</v>
      </c>
      <c r="F273" s="8" t="s">
        <v>992</v>
      </c>
      <c r="G273" s="8" t="s">
        <v>989</v>
      </c>
      <c r="H273" s="8" t="s">
        <v>6</v>
      </c>
      <c r="I273" s="8"/>
      <c r="J273" s="9"/>
      <c r="K273" s="8"/>
    </row>
    <row r="274" customFormat="false" ht="15" hidden="false" customHeight="false" outlineLevel="0" collapsed="false">
      <c r="A274" s="8" t="s">
        <v>993</v>
      </c>
      <c r="B274" s="8" t="s">
        <v>24</v>
      </c>
      <c r="C274" s="8" t="s">
        <v>954</v>
      </c>
      <c r="D274" s="8" t="s">
        <v>193</v>
      </c>
      <c r="E274" s="8" t="s">
        <v>994</v>
      </c>
      <c r="F274" s="8" t="s">
        <v>995</v>
      </c>
      <c r="G274" s="8"/>
      <c r="H274" s="8" t="s">
        <v>6</v>
      </c>
      <c r="I274" s="8"/>
      <c r="J274" s="9"/>
      <c r="K274" s="8"/>
    </row>
    <row r="275" customFormat="false" ht="15" hidden="false" customHeight="false" outlineLevel="0" collapsed="false">
      <c r="A275" s="8" t="s">
        <v>996</v>
      </c>
      <c r="B275" s="8" t="s">
        <v>24</v>
      </c>
      <c r="C275" s="8" t="s">
        <v>954</v>
      </c>
      <c r="D275" s="8" t="s">
        <v>193</v>
      </c>
      <c r="E275" s="8" t="s">
        <v>997</v>
      </c>
      <c r="F275" s="8" t="s">
        <v>998</v>
      </c>
      <c r="G275" s="8" t="s">
        <v>673</v>
      </c>
      <c r="H275" s="8" t="s">
        <v>6</v>
      </c>
      <c r="I275" s="8"/>
      <c r="J275" s="9"/>
      <c r="K275" s="8"/>
    </row>
    <row r="276" customFormat="false" ht="15" hidden="false" customHeight="false" outlineLevel="0" collapsed="false">
      <c r="A276" s="8" t="s">
        <v>999</v>
      </c>
      <c r="B276" s="8" t="s">
        <v>24</v>
      </c>
      <c r="C276" s="8" t="s">
        <v>954</v>
      </c>
      <c r="D276" s="8" t="s">
        <v>188</v>
      </c>
      <c r="E276" s="8" t="s">
        <v>1000</v>
      </c>
      <c r="F276" s="8" t="s">
        <v>1001</v>
      </c>
      <c r="G276" s="8" t="s">
        <v>191</v>
      </c>
      <c r="H276" s="8" t="s">
        <v>6</v>
      </c>
      <c r="I276" s="8"/>
      <c r="J276" s="9"/>
      <c r="K276" s="8"/>
    </row>
    <row r="277" customFormat="false" ht="28.35" hidden="false" customHeight="false" outlineLevel="0" collapsed="false">
      <c r="A277" s="8" t="s">
        <v>1002</v>
      </c>
      <c r="B277" s="8" t="s">
        <v>24</v>
      </c>
      <c r="C277" s="8" t="s">
        <v>954</v>
      </c>
      <c r="D277" s="8" t="s">
        <v>94</v>
      </c>
      <c r="E277" s="8" t="s">
        <v>1003</v>
      </c>
      <c r="F277" s="8" t="s">
        <v>1004</v>
      </c>
      <c r="G277" s="8" t="s">
        <v>973</v>
      </c>
      <c r="H277" s="8" t="s">
        <v>6</v>
      </c>
      <c r="I277" s="8"/>
      <c r="J277" s="9"/>
      <c r="K277" s="8"/>
    </row>
    <row r="278" customFormat="false" ht="28.35" hidden="false" customHeight="false" outlineLevel="0" collapsed="false">
      <c r="A278" s="8" t="s">
        <v>1005</v>
      </c>
      <c r="B278" s="8" t="s">
        <v>24</v>
      </c>
      <c r="C278" s="8" t="s">
        <v>954</v>
      </c>
      <c r="D278" s="8" t="s">
        <v>94</v>
      </c>
      <c r="E278" s="8" t="s">
        <v>1006</v>
      </c>
      <c r="F278" s="8" t="s">
        <v>1007</v>
      </c>
      <c r="G278" s="8" t="s">
        <v>1008</v>
      </c>
      <c r="H278" s="8" t="s">
        <v>6</v>
      </c>
      <c r="I278" s="8"/>
      <c r="J278" s="9"/>
      <c r="K278" s="8"/>
    </row>
    <row r="279" customFormat="false" ht="28.35" hidden="false" customHeight="false" outlineLevel="0" collapsed="false">
      <c r="A279" s="8" t="s">
        <v>1009</v>
      </c>
      <c r="B279" s="8" t="s">
        <v>24</v>
      </c>
      <c r="C279" s="8" t="s">
        <v>954</v>
      </c>
      <c r="D279" s="8" t="s">
        <v>94</v>
      </c>
      <c r="E279" s="8" t="s">
        <v>1010</v>
      </c>
      <c r="F279" s="8" t="s">
        <v>1011</v>
      </c>
      <c r="G279" s="8" t="s">
        <v>1008</v>
      </c>
      <c r="H279" s="8" t="s">
        <v>6</v>
      </c>
      <c r="I279" s="8"/>
      <c r="J279" s="9"/>
      <c r="K279" s="8"/>
    </row>
    <row r="280" customFormat="false" ht="28.35" hidden="false" customHeight="false" outlineLevel="0" collapsed="false">
      <c r="A280" s="8" t="s">
        <v>1012</v>
      </c>
      <c r="B280" s="8" t="s">
        <v>24</v>
      </c>
      <c r="C280" s="8" t="s">
        <v>954</v>
      </c>
      <c r="D280" s="8" t="s">
        <v>94</v>
      </c>
      <c r="E280" s="8" t="s">
        <v>1013</v>
      </c>
      <c r="F280" s="8" t="s">
        <v>1014</v>
      </c>
      <c r="G280" s="8" t="s">
        <v>1008</v>
      </c>
      <c r="H280" s="8" t="s">
        <v>6</v>
      </c>
      <c r="I280" s="8"/>
      <c r="J280" s="9"/>
      <c r="K280" s="8"/>
    </row>
    <row r="281" customFormat="false" ht="15" hidden="false" customHeight="false" outlineLevel="0" collapsed="false">
      <c r="A281" s="8" t="s">
        <v>1015</v>
      </c>
      <c r="B281" s="8" t="s">
        <v>24</v>
      </c>
      <c r="C281" s="8" t="s">
        <v>954</v>
      </c>
      <c r="D281" s="8" t="s">
        <v>193</v>
      </c>
      <c r="E281" s="8" t="s">
        <v>1016</v>
      </c>
      <c r="F281" s="8" t="s">
        <v>1017</v>
      </c>
      <c r="G281" s="8" t="s">
        <v>989</v>
      </c>
      <c r="H281" s="8" t="s">
        <v>6</v>
      </c>
      <c r="I281" s="8"/>
      <c r="J281" s="9"/>
      <c r="K281" s="8"/>
    </row>
    <row r="282" customFormat="false" ht="28.35" hidden="false" customHeight="false" outlineLevel="0" collapsed="false">
      <c r="A282" s="8" t="s">
        <v>1018</v>
      </c>
      <c r="B282" s="8" t="s">
        <v>24</v>
      </c>
      <c r="C282" s="8" t="s">
        <v>954</v>
      </c>
      <c r="D282" s="8" t="s">
        <v>94</v>
      </c>
      <c r="E282" s="8" t="s">
        <v>1019</v>
      </c>
      <c r="F282" s="8" t="s">
        <v>1020</v>
      </c>
      <c r="G282" s="8"/>
      <c r="H282" s="8" t="s">
        <v>6</v>
      </c>
      <c r="I282" s="8"/>
      <c r="J282" s="9"/>
      <c r="K282" s="8"/>
    </row>
    <row r="283" customFormat="false" ht="28.35" hidden="false" customHeight="false" outlineLevel="0" collapsed="false">
      <c r="A283" s="8" t="s">
        <v>1021</v>
      </c>
      <c r="B283" s="8" t="s">
        <v>24</v>
      </c>
      <c r="C283" s="8" t="s">
        <v>1022</v>
      </c>
      <c r="D283" s="8" t="s">
        <v>94</v>
      </c>
      <c r="E283" s="8" t="s">
        <v>1023</v>
      </c>
      <c r="F283" s="8" t="s">
        <v>1024</v>
      </c>
      <c r="G283" s="8" t="s">
        <v>1025</v>
      </c>
      <c r="H283" s="8" t="s">
        <v>6</v>
      </c>
      <c r="I283" s="8"/>
      <c r="J283" s="9"/>
      <c r="K283" s="8"/>
    </row>
    <row r="284" customFormat="false" ht="28.35" hidden="false" customHeight="false" outlineLevel="0" collapsed="false">
      <c r="A284" s="8" t="s">
        <v>1026</v>
      </c>
      <c r="B284" s="8" t="s">
        <v>24</v>
      </c>
      <c r="C284" s="8" t="s">
        <v>1022</v>
      </c>
      <c r="D284" s="8" t="s">
        <v>94</v>
      </c>
      <c r="E284" s="8" t="s">
        <v>1027</v>
      </c>
      <c r="F284" s="8" t="s">
        <v>1028</v>
      </c>
      <c r="G284" s="8" t="s">
        <v>1025</v>
      </c>
      <c r="H284" s="8" t="s">
        <v>6</v>
      </c>
      <c r="I284" s="8"/>
      <c r="J284" s="9"/>
      <c r="K284" s="8"/>
    </row>
    <row r="285" customFormat="false" ht="28.35" hidden="false" customHeight="false" outlineLevel="0" collapsed="false">
      <c r="A285" s="8" t="s">
        <v>1029</v>
      </c>
      <c r="B285" s="8" t="s">
        <v>24</v>
      </c>
      <c r="C285" s="8" t="s">
        <v>1022</v>
      </c>
      <c r="D285" s="8" t="s">
        <v>94</v>
      </c>
      <c r="E285" s="8" t="s">
        <v>1030</v>
      </c>
      <c r="F285" s="8" t="s">
        <v>1031</v>
      </c>
      <c r="G285" s="8" t="s">
        <v>1025</v>
      </c>
      <c r="H285" s="8" t="s">
        <v>6</v>
      </c>
      <c r="I285" s="8"/>
      <c r="J285" s="9"/>
      <c r="K285" s="8"/>
    </row>
    <row r="286" customFormat="false" ht="28.35" hidden="false" customHeight="false" outlineLevel="0" collapsed="false">
      <c r="A286" s="8" t="s">
        <v>1032</v>
      </c>
      <c r="B286" s="8" t="s">
        <v>24</v>
      </c>
      <c r="C286" s="8" t="s">
        <v>1022</v>
      </c>
      <c r="D286" s="8" t="s">
        <v>94</v>
      </c>
      <c r="E286" s="8" t="s">
        <v>1033</v>
      </c>
      <c r="F286" s="8" t="s">
        <v>1034</v>
      </c>
      <c r="G286" s="8" t="s">
        <v>1025</v>
      </c>
      <c r="H286" s="8" t="s">
        <v>6</v>
      </c>
      <c r="I286" s="8"/>
      <c r="J286" s="9"/>
      <c r="K286" s="8"/>
    </row>
    <row r="287" customFormat="false" ht="28.35" hidden="false" customHeight="false" outlineLevel="0" collapsed="false">
      <c r="A287" s="8" t="s">
        <v>1035</v>
      </c>
      <c r="B287" s="8" t="s">
        <v>24</v>
      </c>
      <c r="C287" s="8" t="s">
        <v>1036</v>
      </c>
      <c r="D287" s="8" t="s">
        <v>94</v>
      </c>
      <c r="E287" s="8" t="s">
        <v>1037</v>
      </c>
      <c r="F287" s="8" t="s">
        <v>1038</v>
      </c>
      <c r="G287" s="8"/>
      <c r="H287" s="8" t="s">
        <v>6</v>
      </c>
      <c r="I287" s="8"/>
      <c r="J287" s="9"/>
      <c r="K287" s="8"/>
    </row>
    <row r="288" customFormat="false" ht="28.35" hidden="false" customHeight="false" outlineLevel="0" collapsed="false">
      <c r="A288" s="8" t="s">
        <v>1039</v>
      </c>
      <c r="B288" s="8" t="s">
        <v>24</v>
      </c>
      <c r="C288" s="8" t="s">
        <v>1036</v>
      </c>
      <c r="D288" s="8" t="s">
        <v>94</v>
      </c>
      <c r="E288" s="8" t="s">
        <v>1040</v>
      </c>
      <c r="F288" s="8" t="s">
        <v>1041</v>
      </c>
      <c r="G288" s="8"/>
      <c r="H288" s="8" t="s">
        <v>6</v>
      </c>
      <c r="I288" s="8"/>
      <c r="J288" s="9"/>
      <c r="K288" s="8"/>
    </row>
    <row r="289" customFormat="false" ht="28.35" hidden="false" customHeight="false" outlineLevel="0" collapsed="false">
      <c r="A289" s="8" t="s">
        <v>1042</v>
      </c>
      <c r="B289" s="8" t="s">
        <v>24</v>
      </c>
      <c r="C289" s="8" t="s">
        <v>1036</v>
      </c>
      <c r="D289" s="8" t="s">
        <v>94</v>
      </c>
      <c r="E289" s="8" t="s">
        <v>1043</v>
      </c>
      <c r="F289" s="8" t="s">
        <v>1044</v>
      </c>
      <c r="G289" s="8"/>
      <c r="H289" s="8" t="s">
        <v>6</v>
      </c>
      <c r="I289" s="8"/>
      <c r="J289" s="9"/>
      <c r="K289" s="8"/>
    </row>
    <row r="290" customFormat="false" ht="28.35" hidden="false" customHeight="false" outlineLevel="0" collapsed="false">
      <c r="A290" s="8" t="s">
        <v>1045</v>
      </c>
      <c r="B290" s="8" t="s">
        <v>25</v>
      </c>
      <c r="C290" s="8" t="s">
        <v>1046</v>
      </c>
      <c r="D290" s="8" t="s">
        <v>94</v>
      </c>
      <c r="E290" s="8" t="s">
        <v>1047</v>
      </c>
      <c r="F290" s="8" t="s">
        <v>1048</v>
      </c>
      <c r="G290" s="8" t="s">
        <v>1049</v>
      </c>
      <c r="H290" s="8" t="s">
        <v>6</v>
      </c>
      <c r="I290" s="8"/>
      <c r="J290" s="9"/>
      <c r="K290" s="8"/>
    </row>
    <row r="291" customFormat="false" ht="28.35" hidden="false" customHeight="false" outlineLevel="0" collapsed="false">
      <c r="A291" s="8" t="s">
        <v>1050</v>
      </c>
      <c r="B291" s="8" t="s">
        <v>25</v>
      </c>
      <c r="C291" s="8" t="s">
        <v>1046</v>
      </c>
      <c r="D291" s="8" t="s">
        <v>94</v>
      </c>
      <c r="E291" s="8" t="s">
        <v>1051</v>
      </c>
      <c r="F291" s="8" t="s">
        <v>1052</v>
      </c>
      <c r="G291" s="8"/>
      <c r="H291" s="8" t="s">
        <v>6</v>
      </c>
      <c r="I291" s="8"/>
      <c r="J291" s="9"/>
      <c r="K291" s="8"/>
    </row>
    <row r="292" customFormat="false" ht="28.35" hidden="false" customHeight="false" outlineLevel="0" collapsed="false">
      <c r="A292" s="8" t="s">
        <v>1053</v>
      </c>
      <c r="B292" s="8" t="s">
        <v>25</v>
      </c>
      <c r="C292" s="8" t="s">
        <v>1046</v>
      </c>
      <c r="D292" s="8" t="s">
        <v>94</v>
      </c>
      <c r="E292" s="8" t="s">
        <v>1054</v>
      </c>
      <c r="F292" s="8" t="s">
        <v>1055</v>
      </c>
      <c r="G292" s="8"/>
      <c r="H292" s="8" t="s">
        <v>6</v>
      </c>
      <c r="I292" s="8"/>
      <c r="J292" s="9"/>
      <c r="K292" s="8"/>
    </row>
    <row r="293" customFormat="false" ht="28.35" hidden="false" customHeight="false" outlineLevel="0" collapsed="false">
      <c r="A293" s="8" t="s">
        <v>1056</v>
      </c>
      <c r="B293" s="8" t="s">
        <v>25</v>
      </c>
      <c r="C293" s="8" t="s">
        <v>1046</v>
      </c>
      <c r="D293" s="8" t="s">
        <v>94</v>
      </c>
      <c r="E293" s="8" t="s">
        <v>1057</v>
      </c>
      <c r="F293" s="8" t="s">
        <v>1058</v>
      </c>
      <c r="G293" s="8" t="s">
        <v>370</v>
      </c>
      <c r="H293" s="8" t="s">
        <v>6</v>
      </c>
      <c r="I293" s="8"/>
      <c r="J293" s="9"/>
      <c r="K293" s="8"/>
    </row>
    <row r="294" customFormat="false" ht="28.35" hidden="false" customHeight="false" outlineLevel="0" collapsed="false">
      <c r="A294" s="8" t="s">
        <v>1059</v>
      </c>
      <c r="B294" s="8" t="s">
        <v>25</v>
      </c>
      <c r="C294" s="8" t="s">
        <v>1046</v>
      </c>
      <c r="D294" s="8" t="s">
        <v>94</v>
      </c>
      <c r="E294" s="8" t="s">
        <v>1060</v>
      </c>
      <c r="F294" s="8" t="s">
        <v>1061</v>
      </c>
      <c r="G294" s="8" t="s">
        <v>370</v>
      </c>
      <c r="H294" s="8" t="s">
        <v>6</v>
      </c>
      <c r="I294" s="8"/>
      <c r="J294" s="9"/>
      <c r="K294" s="8"/>
    </row>
    <row r="295" customFormat="false" ht="28.35" hidden="false" customHeight="false" outlineLevel="0" collapsed="false">
      <c r="A295" s="8" t="s">
        <v>1062</v>
      </c>
      <c r="B295" s="8" t="s">
        <v>25</v>
      </c>
      <c r="C295" s="8" t="s">
        <v>1046</v>
      </c>
      <c r="D295" s="8" t="s">
        <v>94</v>
      </c>
      <c r="E295" s="8" t="s">
        <v>1063</v>
      </c>
      <c r="F295" s="8" t="s">
        <v>1064</v>
      </c>
      <c r="G295" s="8"/>
      <c r="H295" s="8" t="s">
        <v>6</v>
      </c>
      <c r="I295" s="8"/>
      <c r="J295" s="9"/>
      <c r="K295" s="8"/>
    </row>
    <row r="296" customFormat="false" ht="28.35" hidden="false" customHeight="false" outlineLevel="0" collapsed="false">
      <c r="A296" s="8" t="s">
        <v>1065</v>
      </c>
      <c r="B296" s="8" t="s">
        <v>25</v>
      </c>
      <c r="C296" s="8" t="s">
        <v>1046</v>
      </c>
      <c r="D296" s="8" t="s">
        <v>94</v>
      </c>
      <c r="E296" s="8" t="s">
        <v>1066</v>
      </c>
      <c r="F296" s="8" t="s">
        <v>1067</v>
      </c>
      <c r="G296" s="8"/>
      <c r="H296" s="8" t="s">
        <v>6</v>
      </c>
      <c r="I296" s="8"/>
      <c r="J296" s="9"/>
      <c r="K296" s="8"/>
    </row>
    <row r="297" customFormat="false" ht="28.35" hidden="false" customHeight="false" outlineLevel="0" collapsed="false">
      <c r="A297" s="8" t="s">
        <v>1068</v>
      </c>
      <c r="B297" s="8" t="s">
        <v>25</v>
      </c>
      <c r="C297" s="8" t="s">
        <v>1046</v>
      </c>
      <c r="D297" s="8" t="s">
        <v>94</v>
      </c>
      <c r="E297" s="8" t="s">
        <v>1069</v>
      </c>
      <c r="F297" s="8" t="s">
        <v>1070</v>
      </c>
      <c r="G297" s="8"/>
      <c r="H297" s="8" t="s">
        <v>6</v>
      </c>
      <c r="I297" s="8"/>
      <c r="J297" s="9"/>
      <c r="K297" s="8"/>
    </row>
    <row r="298" customFormat="false" ht="28.35" hidden="false" customHeight="false" outlineLevel="0" collapsed="false">
      <c r="A298" s="8" t="s">
        <v>1071</v>
      </c>
      <c r="B298" s="8" t="s">
        <v>25</v>
      </c>
      <c r="C298" s="8" t="s">
        <v>1046</v>
      </c>
      <c r="D298" s="8" t="s">
        <v>94</v>
      </c>
      <c r="E298" s="8" t="s">
        <v>969</v>
      </c>
      <c r="F298" s="8" t="s">
        <v>1072</v>
      </c>
      <c r="G298" s="8"/>
      <c r="H298" s="8" t="s">
        <v>6</v>
      </c>
      <c r="I298" s="8"/>
      <c r="J298" s="9"/>
      <c r="K298" s="8"/>
    </row>
    <row r="299" customFormat="false" ht="28.35" hidden="false" customHeight="false" outlineLevel="0" collapsed="false">
      <c r="A299" s="8" t="s">
        <v>1073</v>
      </c>
      <c r="B299" s="8" t="s">
        <v>25</v>
      </c>
      <c r="C299" s="8" t="s">
        <v>1046</v>
      </c>
      <c r="D299" s="8" t="s">
        <v>94</v>
      </c>
      <c r="E299" s="8" t="s">
        <v>1074</v>
      </c>
      <c r="F299" s="8" t="s">
        <v>1075</v>
      </c>
      <c r="G299" s="8" t="s">
        <v>1049</v>
      </c>
      <c r="H299" s="8" t="s">
        <v>6</v>
      </c>
      <c r="I299" s="8"/>
      <c r="J299" s="9"/>
      <c r="K299" s="8"/>
    </row>
    <row r="300" customFormat="false" ht="28.35" hidden="false" customHeight="false" outlineLevel="0" collapsed="false">
      <c r="A300" s="8" t="s">
        <v>1076</v>
      </c>
      <c r="B300" s="8" t="s">
        <v>25</v>
      </c>
      <c r="C300" s="8" t="s">
        <v>1046</v>
      </c>
      <c r="D300" s="8" t="s">
        <v>94</v>
      </c>
      <c r="E300" s="8" t="s">
        <v>1077</v>
      </c>
      <c r="F300" s="8" t="s">
        <v>1078</v>
      </c>
      <c r="G300" s="8" t="s">
        <v>717</v>
      </c>
      <c r="H300" s="8" t="s">
        <v>6</v>
      </c>
      <c r="I300" s="8"/>
      <c r="J300" s="9"/>
      <c r="K300" s="8"/>
    </row>
    <row r="301" customFormat="false" ht="28.35" hidden="false" customHeight="false" outlineLevel="0" collapsed="false">
      <c r="A301" s="8" t="s">
        <v>1079</v>
      </c>
      <c r="B301" s="8" t="s">
        <v>25</v>
      </c>
      <c r="C301" s="8" t="s">
        <v>1046</v>
      </c>
      <c r="D301" s="8" t="s">
        <v>94</v>
      </c>
      <c r="E301" s="8" t="s">
        <v>1080</v>
      </c>
      <c r="F301" s="8" t="s">
        <v>1081</v>
      </c>
      <c r="G301" s="8" t="s">
        <v>1082</v>
      </c>
      <c r="H301" s="8" t="s">
        <v>6</v>
      </c>
      <c r="I301" s="8"/>
      <c r="J301" s="9"/>
      <c r="K301" s="8"/>
    </row>
    <row r="302" customFormat="false" ht="28.35" hidden="false" customHeight="false" outlineLevel="0" collapsed="false">
      <c r="A302" s="8" t="s">
        <v>1083</v>
      </c>
      <c r="B302" s="8" t="s">
        <v>25</v>
      </c>
      <c r="C302" s="8" t="s">
        <v>1046</v>
      </c>
      <c r="D302" s="8" t="s">
        <v>94</v>
      </c>
      <c r="E302" s="8" t="s">
        <v>1084</v>
      </c>
      <c r="F302" s="8" t="s">
        <v>1085</v>
      </c>
      <c r="G302" s="8" t="s">
        <v>530</v>
      </c>
      <c r="H302" s="8" t="s">
        <v>6</v>
      </c>
      <c r="I302" s="8"/>
      <c r="J302" s="9"/>
      <c r="K302" s="8"/>
    </row>
    <row r="303" customFormat="false" ht="28.35" hidden="false" customHeight="false" outlineLevel="0" collapsed="false">
      <c r="A303" s="8" t="s">
        <v>1086</v>
      </c>
      <c r="B303" s="8" t="s">
        <v>26</v>
      </c>
      <c r="C303" s="8" t="s">
        <v>1087</v>
      </c>
      <c r="D303" s="8" t="s">
        <v>94</v>
      </c>
      <c r="E303" s="8" t="s">
        <v>1088</v>
      </c>
      <c r="F303" s="8" t="s">
        <v>1089</v>
      </c>
      <c r="G303" s="8" t="s">
        <v>1090</v>
      </c>
      <c r="H303" s="8" t="s">
        <v>6</v>
      </c>
      <c r="I303" s="8"/>
      <c r="J303" s="9"/>
      <c r="K303" s="8"/>
    </row>
    <row r="304" customFormat="false" ht="28.35" hidden="false" customHeight="false" outlineLevel="0" collapsed="false">
      <c r="A304" s="8" t="s">
        <v>1091</v>
      </c>
      <c r="B304" s="8" t="s">
        <v>26</v>
      </c>
      <c r="C304" s="8" t="s">
        <v>1087</v>
      </c>
      <c r="D304" s="8" t="s">
        <v>94</v>
      </c>
      <c r="E304" s="8" t="s">
        <v>1092</v>
      </c>
      <c r="F304" s="8" t="s">
        <v>1093</v>
      </c>
      <c r="G304" s="8" t="s">
        <v>1094</v>
      </c>
      <c r="H304" s="8" t="s">
        <v>6</v>
      </c>
      <c r="I304" s="8"/>
      <c r="J304" s="9"/>
      <c r="K304" s="8"/>
    </row>
    <row r="305" customFormat="false" ht="28.35" hidden="false" customHeight="false" outlineLevel="0" collapsed="false">
      <c r="A305" s="8" t="s">
        <v>1095</v>
      </c>
      <c r="B305" s="8" t="s">
        <v>26</v>
      </c>
      <c r="C305" s="8" t="s">
        <v>1096</v>
      </c>
      <c r="D305" s="8" t="s">
        <v>94</v>
      </c>
      <c r="E305" s="8" t="s">
        <v>1097</v>
      </c>
      <c r="F305" s="8" t="s">
        <v>1098</v>
      </c>
      <c r="G305" s="8" t="s">
        <v>370</v>
      </c>
      <c r="H305" s="8" t="s">
        <v>6</v>
      </c>
      <c r="I305" s="8"/>
      <c r="J305" s="9"/>
      <c r="K305" s="8"/>
    </row>
    <row r="306" customFormat="false" ht="28.35" hidden="false" customHeight="false" outlineLevel="0" collapsed="false">
      <c r="A306" s="8" t="s">
        <v>1099</v>
      </c>
      <c r="B306" s="8" t="s">
        <v>26</v>
      </c>
      <c r="C306" s="8" t="s">
        <v>1100</v>
      </c>
      <c r="D306" s="8" t="s">
        <v>94</v>
      </c>
      <c r="E306" s="8" t="s">
        <v>1101</v>
      </c>
      <c r="F306" s="8" t="s">
        <v>1102</v>
      </c>
      <c r="G306" s="8" t="s">
        <v>1103</v>
      </c>
      <c r="H306" s="8" t="s">
        <v>6</v>
      </c>
      <c r="I306" s="8"/>
      <c r="J306" s="9"/>
      <c r="K306" s="8"/>
    </row>
    <row r="307" customFormat="false" ht="28.35" hidden="false" customHeight="false" outlineLevel="0" collapsed="false">
      <c r="A307" s="8" t="s">
        <v>1104</v>
      </c>
      <c r="B307" s="8" t="s">
        <v>26</v>
      </c>
      <c r="C307" s="8" t="s">
        <v>1096</v>
      </c>
      <c r="D307" s="8" t="s">
        <v>94</v>
      </c>
      <c r="E307" s="8" t="s">
        <v>1105</v>
      </c>
      <c r="F307" s="8" t="s">
        <v>1106</v>
      </c>
      <c r="G307" s="8" t="s">
        <v>1107</v>
      </c>
      <c r="H307" s="8" t="s">
        <v>6</v>
      </c>
      <c r="I307" s="8"/>
      <c r="J307" s="9"/>
      <c r="K307" s="8"/>
    </row>
    <row r="308" customFormat="false" ht="28.35" hidden="false" customHeight="false" outlineLevel="0" collapsed="false">
      <c r="A308" s="8" t="s">
        <v>1108</v>
      </c>
      <c r="B308" s="8" t="s">
        <v>26</v>
      </c>
      <c r="C308" s="8" t="s">
        <v>1109</v>
      </c>
      <c r="D308" s="8" t="s">
        <v>94</v>
      </c>
      <c r="E308" s="8" t="s">
        <v>1110</v>
      </c>
      <c r="F308" s="8" t="s">
        <v>1111</v>
      </c>
      <c r="G308" s="8" t="s">
        <v>1107</v>
      </c>
      <c r="H308" s="8" t="s">
        <v>6</v>
      </c>
      <c r="I308" s="8"/>
      <c r="J308" s="9"/>
      <c r="K308" s="8"/>
    </row>
    <row r="309" customFormat="false" ht="28.35" hidden="false" customHeight="false" outlineLevel="0" collapsed="false">
      <c r="A309" s="8" t="s">
        <v>1112</v>
      </c>
      <c r="B309" s="8" t="s">
        <v>26</v>
      </c>
      <c r="C309" s="8" t="s">
        <v>1113</v>
      </c>
      <c r="D309" s="8" t="s">
        <v>188</v>
      </c>
      <c r="E309" s="8" t="s">
        <v>1114</v>
      </c>
      <c r="F309" s="8" t="s">
        <v>1115</v>
      </c>
      <c r="G309" s="8" t="s">
        <v>370</v>
      </c>
      <c r="H309" s="8" t="s">
        <v>6</v>
      </c>
      <c r="I309" s="8"/>
      <c r="J309" s="9"/>
      <c r="K309" s="8"/>
    </row>
    <row r="310" customFormat="false" ht="28.35" hidden="false" customHeight="false" outlineLevel="0" collapsed="false">
      <c r="A310" s="8" t="s">
        <v>1116</v>
      </c>
      <c r="B310" s="8" t="s">
        <v>27</v>
      </c>
      <c r="C310" s="8" t="s">
        <v>1117</v>
      </c>
      <c r="D310" s="8" t="s">
        <v>94</v>
      </c>
      <c r="E310" s="8" t="s">
        <v>1118</v>
      </c>
      <c r="F310" s="8" t="s">
        <v>1119</v>
      </c>
      <c r="G310" s="8" t="s">
        <v>1120</v>
      </c>
      <c r="H310" s="8" t="s">
        <v>6</v>
      </c>
      <c r="I310" s="8"/>
      <c r="J310" s="9"/>
      <c r="K310" s="8"/>
    </row>
    <row r="311" customFormat="false" ht="28.35" hidden="false" customHeight="false" outlineLevel="0" collapsed="false">
      <c r="A311" s="8" t="s">
        <v>1121</v>
      </c>
      <c r="B311" s="8" t="s">
        <v>27</v>
      </c>
      <c r="C311" s="8" t="s">
        <v>1117</v>
      </c>
      <c r="D311" s="8" t="s">
        <v>94</v>
      </c>
      <c r="E311" s="8" t="s">
        <v>1122</v>
      </c>
      <c r="F311" s="8" t="s">
        <v>217</v>
      </c>
      <c r="G311" s="8" t="s">
        <v>1123</v>
      </c>
      <c r="H311" s="8" t="s">
        <v>6</v>
      </c>
      <c r="I311" s="8"/>
      <c r="J311" s="9"/>
      <c r="K311" s="8"/>
    </row>
    <row r="312" customFormat="false" ht="28.35" hidden="false" customHeight="false" outlineLevel="0" collapsed="false">
      <c r="A312" s="8" t="s">
        <v>1124</v>
      </c>
      <c r="B312" s="8" t="s">
        <v>27</v>
      </c>
      <c r="C312" s="8" t="s">
        <v>1117</v>
      </c>
      <c r="D312" s="8" t="s">
        <v>94</v>
      </c>
      <c r="E312" s="8" t="s">
        <v>1125</v>
      </c>
      <c r="F312" s="8" t="s">
        <v>1126</v>
      </c>
      <c r="G312" s="8"/>
      <c r="H312" s="8" t="s">
        <v>6</v>
      </c>
      <c r="I312" s="8"/>
      <c r="J312" s="9"/>
      <c r="K312" s="8"/>
    </row>
    <row r="313" customFormat="false" ht="28.35" hidden="false" customHeight="false" outlineLevel="0" collapsed="false">
      <c r="A313" s="8" t="s">
        <v>1127</v>
      </c>
      <c r="B313" s="8" t="s">
        <v>27</v>
      </c>
      <c r="C313" s="8" t="s">
        <v>1117</v>
      </c>
      <c r="D313" s="8" t="s">
        <v>94</v>
      </c>
      <c r="E313" s="8" t="s">
        <v>1128</v>
      </c>
      <c r="F313" s="8" t="s">
        <v>1129</v>
      </c>
      <c r="G313" s="8"/>
      <c r="H313" s="8" t="s">
        <v>6</v>
      </c>
      <c r="I313" s="8"/>
      <c r="J313" s="9"/>
      <c r="K313" s="8"/>
    </row>
    <row r="314" customFormat="false" ht="28.35" hidden="false" customHeight="false" outlineLevel="0" collapsed="false">
      <c r="A314" s="8" t="s">
        <v>1130</v>
      </c>
      <c r="B314" s="8" t="s">
        <v>27</v>
      </c>
      <c r="C314" s="8" t="s">
        <v>1117</v>
      </c>
      <c r="D314" s="8" t="s">
        <v>94</v>
      </c>
      <c r="E314" s="8" t="s">
        <v>1131</v>
      </c>
      <c r="F314" s="8" t="s">
        <v>1132</v>
      </c>
      <c r="G314" s="8"/>
      <c r="H314" s="8" t="s">
        <v>6</v>
      </c>
      <c r="I314" s="8"/>
      <c r="J314" s="9"/>
      <c r="K314" s="8"/>
    </row>
    <row r="315" customFormat="false" ht="28.35" hidden="false" customHeight="false" outlineLevel="0" collapsed="false">
      <c r="A315" s="8" t="s">
        <v>1133</v>
      </c>
      <c r="B315" s="8" t="s">
        <v>27</v>
      </c>
      <c r="C315" s="8" t="s">
        <v>1117</v>
      </c>
      <c r="D315" s="8" t="s">
        <v>193</v>
      </c>
      <c r="E315" s="8" t="s">
        <v>1134</v>
      </c>
      <c r="F315" s="8" t="s">
        <v>1135</v>
      </c>
      <c r="G315" s="8" t="s">
        <v>989</v>
      </c>
      <c r="H315" s="8" t="s">
        <v>6</v>
      </c>
      <c r="I315" s="8"/>
      <c r="J315" s="9"/>
      <c r="K315" s="8"/>
    </row>
    <row r="316" customFormat="false" ht="41.75" hidden="false" customHeight="false" outlineLevel="0" collapsed="false">
      <c r="A316" s="8" t="s">
        <v>1136</v>
      </c>
      <c r="B316" s="8" t="s">
        <v>27</v>
      </c>
      <c r="C316" s="8" t="s">
        <v>1117</v>
      </c>
      <c r="D316" s="8" t="s">
        <v>94</v>
      </c>
      <c r="E316" s="8" t="s">
        <v>1137</v>
      </c>
      <c r="F316" s="8" t="s">
        <v>1138</v>
      </c>
      <c r="G316" s="8" t="s">
        <v>1008</v>
      </c>
      <c r="H316" s="8" t="s">
        <v>6</v>
      </c>
      <c r="I316" s="8"/>
      <c r="J316" s="9"/>
      <c r="K316" s="8"/>
    </row>
    <row r="317" customFormat="false" ht="28.35" hidden="false" customHeight="false" outlineLevel="0" collapsed="false">
      <c r="A317" s="8" t="s">
        <v>1139</v>
      </c>
      <c r="B317" s="8" t="s">
        <v>27</v>
      </c>
      <c r="C317" s="8" t="s">
        <v>1117</v>
      </c>
      <c r="D317" s="8" t="s">
        <v>94</v>
      </c>
      <c r="E317" s="8" t="s">
        <v>1140</v>
      </c>
      <c r="F317" s="8" t="s">
        <v>1141</v>
      </c>
      <c r="G317" s="8" t="s">
        <v>1008</v>
      </c>
      <c r="H317" s="8" t="s">
        <v>6</v>
      </c>
      <c r="I317" s="8"/>
      <c r="J317" s="9"/>
      <c r="K317" s="8"/>
    </row>
    <row r="318" customFormat="false" ht="28.35" hidden="false" customHeight="false" outlineLevel="0" collapsed="false">
      <c r="A318" s="8" t="s">
        <v>1142</v>
      </c>
      <c r="B318" s="8" t="s">
        <v>28</v>
      </c>
      <c r="C318" s="8" t="s">
        <v>1143</v>
      </c>
      <c r="D318" s="8" t="s">
        <v>94</v>
      </c>
      <c r="E318" s="8" t="s">
        <v>1144</v>
      </c>
      <c r="F318" s="8" t="s">
        <v>1145</v>
      </c>
      <c r="G318" s="8" t="s">
        <v>1146</v>
      </c>
      <c r="H318" s="8" t="s">
        <v>6</v>
      </c>
      <c r="I318" s="8"/>
      <c r="J318" s="9"/>
      <c r="K318" s="8"/>
    </row>
    <row r="319" customFormat="false" ht="28.35" hidden="false" customHeight="false" outlineLevel="0" collapsed="false">
      <c r="A319" s="8" t="s">
        <v>1147</v>
      </c>
      <c r="B319" s="8" t="s">
        <v>28</v>
      </c>
      <c r="C319" s="8" t="s">
        <v>1143</v>
      </c>
      <c r="D319" s="8" t="s">
        <v>94</v>
      </c>
      <c r="E319" s="8" t="s">
        <v>1148</v>
      </c>
      <c r="F319" s="8" t="s">
        <v>217</v>
      </c>
      <c r="G319" s="8" t="s">
        <v>1149</v>
      </c>
      <c r="H319" s="8" t="s">
        <v>6</v>
      </c>
      <c r="I319" s="8"/>
      <c r="J319" s="9"/>
      <c r="K319" s="8"/>
    </row>
    <row r="320" customFormat="false" ht="28.35" hidden="false" customHeight="false" outlineLevel="0" collapsed="false">
      <c r="A320" s="8" t="s">
        <v>1150</v>
      </c>
      <c r="B320" s="8" t="s">
        <v>28</v>
      </c>
      <c r="C320" s="8" t="s">
        <v>1143</v>
      </c>
      <c r="D320" s="8" t="s">
        <v>94</v>
      </c>
      <c r="E320" s="8" t="s">
        <v>1151</v>
      </c>
      <c r="F320" s="8" t="s">
        <v>217</v>
      </c>
      <c r="G320" s="8"/>
      <c r="H320" s="8" t="s">
        <v>6</v>
      </c>
      <c r="I320" s="8"/>
      <c r="J320" s="9"/>
      <c r="K320" s="8"/>
    </row>
    <row r="321" customFormat="false" ht="28.35" hidden="false" customHeight="false" outlineLevel="0" collapsed="false">
      <c r="A321" s="8" t="s">
        <v>1152</v>
      </c>
      <c r="B321" s="8" t="s">
        <v>28</v>
      </c>
      <c r="C321" s="8" t="s">
        <v>1143</v>
      </c>
      <c r="D321" s="8" t="s">
        <v>94</v>
      </c>
      <c r="E321" s="8" t="s">
        <v>1153</v>
      </c>
      <c r="F321" s="8" t="s">
        <v>1154</v>
      </c>
      <c r="G321" s="8"/>
      <c r="H321" s="8" t="s">
        <v>6</v>
      </c>
      <c r="I321" s="8"/>
      <c r="J321" s="9"/>
      <c r="K321" s="8"/>
    </row>
    <row r="322" customFormat="false" ht="28.35" hidden="false" customHeight="false" outlineLevel="0" collapsed="false">
      <c r="A322" s="8" t="s">
        <v>1155</v>
      </c>
      <c r="B322" s="8" t="s">
        <v>29</v>
      </c>
      <c r="C322" s="8" t="s">
        <v>1156</v>
      </c>
      <c r="D322" s="8" t="s">
        <v>94</v>
      </c>
      <c r="E322" s="8" t="s">
        <v>1157</v>
      </c>
      <c r="F322" s="8" t="s">
        <v>1158</v>
      </c>
      <c r="G322" s="8" t="s">
        <v>1159</v>
      </c>
      <c r="H322" s="8" t="s">
        <v>6</v>
      </c>
      <c r="I322" s="8"/>
      <c r="J322" s="9"/>
      <c r="K322" s="8"/>
    </row>
    <row r="323" customFormat="false" ht="28.35" hidden="false" customHeight="false" outlineLevel="0" collapsed="false">
      <c r="A323" s="8" t="s">
        <v>1160</v>
      </c>
      <c r="B323" s="8" t="s">
        <v>29</v>
      </c>
      <c r="C323" s="8" t="s">
        <v>1156</v>
      </c>
      <c r="D323" s="8" t="s">
        <v>94</v>
      </c>
      <c r="E323" s="8" t="s">
        <v>1161</v>
      </c>
      <c r="F323" s="8" t="s">
        <v>217</v>
      </c>
      <c r="G323" s="8" t="s">
        <v>1159</v>
      </c>
      <c r="H323" s="8" t="s">
        <v>6</v>
      </c>
      <c r="I323" s="8"/>
      <c r="J323" s="9"/>
      <c r="K323" s="8"/>
    </row>
    <row r="324" customFormat="false" ht="28.35" hidden="false" customHeight="false" outlineLevel="0" collapsed="false">
      <c r="A324" s="8" t="s">
        <v>1162</v>
      </c>
      <c r="B324" s="8" t="s">
        <v>29</v>
      </c>
      <c r="C324" s="8" t="s">
        <v>1156</v>
      </c>
      <c r="D324" s="8" t="s">
        <v>94</v>
      </c>
      <c r="E324" s="8" t="s">
        <v>1163</v>
      </c>
      <c r="F324" s="8" t="s">
        <v>1164</v>
      </c>
      <c r="G324" s="8"/>
      <c r="H324" s="8" t="s">
        <v>6</v>
      </c>
      <c r="I324" s="8"/>
      <c r="J324" s="9"/>
      <c r="K324" s="8"/>
    </row>
    <row r="325" customFormat="false" ht="28.35" hidden="false" customHeight="false" outlineLevel="0" collapsed="false">
      <c r="A325" s="8" t="s">
        <v>1165</v>
      </c>
      <c r="B325" s="8" t="s">
        <v>29</v>
      </c>
      <c r="C325" s="8" t="s">
        <v>1156</v>
      </c>
      <c r="D325" s="8" t="s">
        <v>94</v>
      </c>
      <c r="E325" s="8" t="s">
        <v>892</v>
      </c>
      <c r="F325" s="8" t="s">
        <v>1166</v>
      </c>
      <c r="G325" s="8"/>
      <c r="H325" s="8" t="s">
        <v>6</v>
      </c>
      <c r="I325" s="8"/>
      <c r="J325" s="9"/>
      <c r="K325" s="8"/>
    </row>
    <row r="326" customFormat="false" ht="28.35" hidden="false" customHeight="false" outlineLevel="0" collapsed="false">
      <c r="A326" s="8" t="s">
        <v>1167</v>
      </c>
      <c r="B326" s="8" t="s">
        <v>29</v>
      </c>
      <c r="C326" s="8" t="s">
        <v>1156</v>
      </c>
      <c r="D326" s="8" t="s">
        <v>94</v>
      </c>
      <c r="E326" s="8" t="s">
        <v>1168</v>
      </c>
      <c r="F326" s="8" t="s">
        <v>1169</v>
      </c>
      <c r="G326" s="8"/>
      <c r="H326" s="8" t="s">
        <v>6</v>
      </c>
      <c r="I326" s="8"/>
      <c r="J326" s="9"/>
      <c r="K326" s="8"/>
    </row>
    <row r="327" customFormat="false" ht="28.35" hidden="false" customHeight="false" outlineLevel="0" collapsed="false">
      <c r="A327" s="8" t="s">
        <v>1170</v>
      </c>
      <c r="B327" s="8" t="s">
        <v>29</v>
      </c>
      <c r="C327" s="8" t="s">
        <v>1156</v>
      </c>
      <c r="D327" s="8" t="s">
        <v>94</v>
      </c>
      <c r="E327" s="8" t="s">
        <v>1171</v>
      </c>
      <c r="F327" s="8" t="s">
        <v>1172</v>
      </c>
      <c r="G327" s="8"/>
      <c r="H327" s="8" t="s">
        <v>6</v>
      </c>
      <c r="I327" s="8"/>
      <c r="J327" s="9"/>
      <c r="K327" s="8"/>
    </row>
    <row r="328" customFormat="false" ht="28.35" hidden="false" customHeight="false" outlineLevel="0" collapsed="false">
      <c r="A328" s="8" t="s">
        <v>1173</v>
      </c>
      <c r="B328" s="8" t="s">
        <v>29</v>
      </c>
      <c r="C328" s="8" t="s">
        <v>1156</v>
      </c>
      <c r="D328" s="8" t="s">
        <v>94</v>
      </c>
      <c r="E328" s="8" t="s">
        <v>1174</v>
      </c>
      <c r="F328" s="8" t="s">
        <v>1175</v>
      </c>
      <c r="G328" s="8"/>
      <c r="H328" s="8" t="s">
        <v>6</v>
      </c>
      <c r="I328" s="8"/>
      <c r="J328" s="9"/>
      <c r="K328" s="8"/>
    </row>
    <row r="329" customFormat="false" ht="28.35" hidden="false" customHeight="false" outlineLevel="0" collapsed="false">
      <c r="A329" s="8" t="s">
        <v>1176</v>
      </c>
      <c r="B329" s="8" t="s">
        <v>29</v>
      </c>
      <c r="C329" s="8" t="s">
        <v>1156</v>
      </c>
      <c r="D329" s="8" t="s">
        <v>94</v>
      </c>
      <c r="E329" s="8" t="s">
        <v>1177</v>
      </c>
      <c r="F329" s="8" t="s">
        <v>941</v>
      </c>
      <c r="G329" s="8"/>
      <c r="H329" s="8" t="s">
        <v>6</v>
      </c>
      <c r="I329" s="8"/>
      <c r="J329" s="9"/>
      <c r="K329" s="8"/>
    </row>
    <row r="330" customFormat="false" ht="28.35" hidden="false" customHeight="false" outlineLevel="0" collapsed="false">
      <c r="A330" s="8" t="s">
        <v>1178</v>
      </c>
      <c r="B330" s="8" t="s">
        <v>29</v>
      </c>
      <c r="C330" s="8" t="s">
        <v>1156</v>
      </c>
      <c r="D330" s="8" t="s">
        <v>94</v>
      </c>
      <c r="E330" s="8" t="s">
        <v>1179</v>
      </c>
      <c r="F330" s="8" t="s">
        <v>1180</v>
      </c>
      <c r="G330" s="8" t="s">
        <v>1181</v>
      </c>
      <c r="H330" s="8" t="s">
        <v>6</v>
      </c>
      <c r="I330" s="8"/>
      <c r="J330" s="9"/>
      <c r="K330" s="8"/>
    </row>
    <row r="331" customFormat="false" ht="28.35" hidden="false" customHeight="false" outlineLevel="0" collapsed="false">
      <c r="A331" s="8" t="s">
        <v>1182</v>
      </c>
      <c r="B331" s="8" t="s">
        <v>29</v>
      </c>
      <c r="C331" s="8" t="s">
        <v>1156</v>
      </c>
      <c r="D331" s="8" t="s">
        <v>94</v>
      </c>
      <c r="E331" s="8" t="s">
        <v>1183</v>
      </c>
      <c r="F331" s="8" t="s">
        <v>1184</v>
      </c>
      <c r="G331" s="8" t="s">
        <v>1185</v>
      </c>
      <c r="H331" s="8" t="s">
        <v>6</v>
      </c>
      <c r="I331" s="8"/>
      <c r="J331" s="9"/>
      <c r="K331" s="8"/>
    </row>
    <row r="332" customFormat="false" ht="28.35" hidden="false" customHeight="false" outlineLevel="0" collapsed="false">
      <c r="A332" s="8" t="s">
        <v>1186</v>
      </c>
      <c r="B332" s="8" t="s">
        <v>29</v>
      </c>
      <c r="C332" s="8" t="s">
        <v>1156</v>
      </c>
      <c r="D332" s="8" t="s">
        <v>94</v>
      </c>
      <c r="E332" s="8" t="s">
        <v>1187</v>
      </c>
      <c r="F332" s="8" t="s">
        <v>1188</v>
      </c>
      <c r="G332" s="8" t="s">
        <v>1189</v>
      </c>
      <c r="H332" s="8" t="s">
        <v>6</v>
      </c>
      <c r="I332" s="8"/>
      <c r="J332" s="9"/>
      <c r="K332" s="8"/>
    </row>
    <row r="333" customFormat="false" ht="28.35" hidden="false" customHeight="false" outlineLevel="0" collapsed="false">
      <c r="A333" s="8" t="s">
        <v>1190</v>
      </c>
      <c r="B333" s="8" t="s">
        <v>29</v>
      </c>
      <c r="C333" s="8" t="s">
        <v>1156</v>
      </c>
      <c r="D333" s="8" t="s">
        <v>94</v>
      </c>
      <c r="E333" s="8" t="s">
        <v>1191</v>
      </c>
      <c r="F333" s="8" t="s">
        <v>1192</v>
      </c>
      <c r="G333" s="8" t="s">
        <v>1193</v>
      </c>
      <c r="H333" s="8" t="s">
        <v>6</v>
      </c>
      <c r="I333" s="8"/>
      <c r="J333" s="9"/>
      <c r="K333" s="8"/>
    </row>
    <row r="334" customFormat="false" ht="28.35" hidden="false" customHeight="false" outlineLevel="0" collapsed="false">
      <c r="A334" s="8" t="s">
        <v>1194</v>
      </c>
      <c r="B334" s="8" t="s">
        <v>30</v>
      </c>
      <c r="C334" s="8" t="s">
        <v>1195</v>
      </c>
      <c r="D334" s="8" t="s">
        <v>193</v>
      </c>
      <c r="E334" s="8" t="s">
        <v>1196</v>
      </c>
      <c r="F334" s="8" t="s">
        <v>1197</v>
      </c>
      <c r="G334" s="8" t="s">
        <v>1198</v>
      </c>
      <c r="H334" s="8" t="s">
        <v>6</v>
      </c>
      <c r="I334" s="8"/>
      <c r="J334" s="9"/>
      <c r="K334" s="8"/>
    </row>
    <row r="335" customFormat="false" ht="28.35" hidden="false" customHeight="false" outlineLevel="0" collapsed="false">
      <c r="A335" s="8" t="s">
        <v>1199</v>
      </c>
      <c r="B335" s="8" t="s">
        <v>30</v>
      </c>
      <c r="C335" s="8" t="s">
        <v>1195</v>
      </c>
      <c r="D335" s="8" t="s">
        <v>193</v>
      </c>
      <c r="E335" s="8" t="s">
        <v>1200</v>
      </c>
      <c r="F335" s="8" t="s">
        <v>1201</v>
      </c>
      <c r="G335" s="8"/>
      <c r="H335" s="8" t="s">
        <v>6</v>
      </c>
      <c r="I335" s="8"/>
      <c r="J335" s="9"/>
      <c r="K335" s="8"/>
    </row>
    <row r="336" customFormat="false" ht="28.35" hidden="false" customHeight="false" outlineLevel="0" collapsed="false">
      <c r="A336" s="8" t="s">
        <v>1202</v>
      </c>
      <c r="B336" s="8" t="s">
        <v>30</v>
      </c>
      <c r="C336" s="8" t="s">
        <v>1195</v>
      </c>
      <c r="D336" s="8" t="s">
        <v>193</v>
      </c>
      <c r="E336" s="8" t="s">
        <v>1203</v>
      </c>
      <c r="F336" s="8" t="s">
        <v>1204</v>
      </c>
      <c r="G336" s="8" t="s">
        <v>1205</v>
      </c>
      <c r="H336" s="8" t="s">
        <v>6</v>
      </c>
      <c r="I336" s="8"/>
      <c r="J336" s="9"/>
      <c r="K336" s="8"/>
    </row>
    <row r="337" customFormat="false" ht="28.35" hidden="false" customHeight="false" outlineLevel="0" collapsed="false">
      <c r="A337" s="8" t="s">
        <v>1206</v>
      </c>
      <c r="B337" s="8" t="s">
        <v>30</v>
      </c>
      <c r="C337" s="8" t="s">
        <v>1195</v>
      </c>
      <c r="D337" s="8" t="s">
        <v>193</v>
      </c>
      <c r="E337" s="8" t="s">
        <v>1207</v>
      </c>
      <c r="F337" s="8" t="s">
        <v>1208</v>
      </c>
      <c r="G337" s="8" t="s">
        <v>1209</v>
      </c>
      <c r="H337" s="8" t="s">
        <v>6</v>
      </c>
      <c r="I337" s="8"/>
      <c r="J337" s="9"/>
      <c r="K337" s="8"/>
    </row>
    <row r="338" customFormat="false" ht="28.35" hidden="false" customHeight="false" outlineLevel="0" collapsed="false">
      <c r="A338" s="8" t="s">
        <v>1210</v>
      </c>
      <c r="B338" s="8" t="s">
        <v>30</v>
      </c>
      <c r="C338" s="8" t="s">
        <v>1195</v>
      </c>
      <c r="D338" s="8" t="s">
        <v>94</v>
      </c>
      <c r="E338" s="8" t="s">
        <v>1211</v>
      </c>
      <c r="F338" s="8" t="s">
        <v>1212</v>
      </c>
      <c r="G338" s="8" t="s">
        <v>1209</v>
      </c>
      <c r="H338" s="8" t="s">
        <v>6</v>
      </c>
      <c r="I338" s="8"/>
      <c r="J338" s="9"/>
      <c r="K338" s="8"/>
    </row>
    <row r="339" customFormat="false" ht="28.35" hidden="false" customHeight="false" outlineLevel="0" collapsed="false">
      <c r="A339" s="8" t="s">
        <v>1213</v>
      </c>
      <c r="B339" s="8" t="s">
        <v>30</v>
      </c>
      <c r="C339" s="8" t="s">
        <v>1195</v>
      </c>
      <c r="D339" s="8" t="s">
        <v>94</v>
      </c>
      <c r="E339" s="8" t="s">
        <v>1214</v>
      </c>
      <c r="F339" s="8" t="s">
        <v>1215</v>
      </c>
      <c r="G339" s="8" t="s">
        <v>1209</v>
      </c>
      <c r="H339" s="8" t="s">
        <v>6</v>
      </c>
      <c r="I339" s="8"/>
      <c r="J339" s="9"/>
      <c r="K339" s="8"/>
    </row>
    <row r="340" customFormat="false" ht="28.35" hidden="false" customHeight="false" outlineLevel="0" collapsed="false">
      <c r="A340" s="8" t="s">
        <v>1216</v>
      </c>
      <c r="B340" s="8" t="s">
        <v>30</v>
      </c>
      <c r="C340" s="8" t="s">
        <v>1195</v>
      </c>
      <c r="D340" s="8" t="s">
        <v>94</v>
      </c>
      <c r="E340" s="8" t="s">
        <v>1217</v>
      </c>
      <c r="F340" s="8" t="s">
        <v>1218</v>
      </c>
      <c r="G340" s="8"/>
      <c r="H340" s="8" t="s">
        <v>6</v>
      </c>
      <c r="I340" s="8"/>
      <c r="J340" s="9"/>
      <c r="K340" s="8"/>
    </row>
    <row r="341" customFormat="false" ht="28.35" hidden="false" customHeight="false" outlineLevel="0" collapsed="false">
      <c r="A341" s="8" t="s">
        <v>1219</v>
      </c>
      <c r="B341" s="8" t="s">
        <v>30</v>
      </c>
      <c r="C341" s="8" t="s">
        <v>1195</v>
      </c>
      <c r="D341" s="8" t="s">
        <v>94</v>
      </c>
      <c r="E341" s="8" t="s">
        <v>1220</v>
      </c>
      <c r="F341" s="8" t="s">
        <v>1221</v>
      </c>
      <c r="G341" s="8"/>
      <c r="H341" s="8" t="s">
        <v>6</v>
      </c>
      <c r="I341" s="8"/>
      <c r="J341" s="9"/>
      <c r="K341" s="8"/>
    </row>
    <row r="342" customFormat="false" ht="28.35" hidden="false" customHeight="false" outlineLevel="0" collapsed="false">
      <c r="A342" s="8" t="s">
        <v>1222</v>
      </c>
      <c r="B342" s="8" t="s">
        <v>30</v>
      </c>
      <c r="C342" s="8" t="s">
        <v>1223</v>
      </c>
      <c r="D342" s="8" t="s">
        <v>94</v>
      </c>
      <c r="E342" s="8" t="s">
        <v>1224</v>
      </c>
      <c r="F342" s="8" t="s">
        <v>1225</v>
      </c>
      <c r="G342" s="8"/>
      <c r="H342" s="8" t="s">
        <v>6</v>
      </c>
      <c r="I342" s="8"/>
      <c r="J342" s="9"/>
      <c r="K342" s="8"/>
    </row>
    <row r="343" customFormat="false" ht="28.35" hidden="false" customHeight="false" outlineLevel="0" collapsed="false">
      <c r="A343" s="8" t="s">
        <v>1226</v>
      </c>
      <c r="B343" s="8" t="s">
        <v>30</v>
      </c>
      <c r="C343" s="8" t="s">
        <v>1223</v>
      </c>
      <c r="D343" s="8" t="s">
        <v>94</v>
      </c>
      <c r="E343" s="8" t="s">
        <v>1227</v>
      </c>
      <c r="F343" s="8" t="s">
        <v>1228</v>
      </c>
      <c r="G343" s="8"/>
      <c r="H343" s="8" t="s">
        <v>6</v>
      </c>
      <c r="I343" s="8"/>
      <c r="J343" s="9"/>
      <c r="K343" s="8"/>
    </row>
    <row r="344" customFormat="false" ht="28.35" hidden="false" customHeight="false" outlineLevel="0" collapsed="false">
      <c r="A344" s="8" t="s">
        <v>1229</v>
      </c>
      <c r="B344" s="8" t="s">
        <v>30</v>
      </c>
      <c r="C344" s="8" t="s">
        <v>1223</v>
      </c>
      <c r="D344" s="8" t="s">
        <v>94</v>
      </c>
      <c r="E344" s="8" t="s">
        <v>1230</v>
      </c>
      <c r="F344" s="8" t="s">
        <v>1231</v>
      </c>
      <c r="G344" s="8"/>
      <c r="H344" s="8" t="s">
        <v>6</v>
      </c>
      <c r="I344" s="8"/>
      <c r="J344" s="9"/>
      <c r="K344" s="8"/>
    </row>
    <row r="345" customFormat="false" ht="28.35" hidden="false" customHeight="false" outlineLevel="0" collapsed="false">
      <c r="A345" s="8" t="s">
        <v>1232</v>
      </c>
      <c r="B345" s="8" t="s">
        <v>31</v>
      </c>
      <c r="C345" s="8" t="s">
        <v>1233</v>
      </c>
      <c r="D345" s="8" t="s">
        <v>94</v>
      </c>
      <c r="E345" s="8" t="s">
        <v>1234</v>
      </c>
      <c r="F345" s="8" t="s">
        <v>1235</v>
      </c>
      <c r="G345" s="8" t="s">
        <v>1236</v>
      </c>
      <c r="H345" s="8" t="s">
        <v>6</v>
      </c>
      <c r="I345" s="8"/>
      <c r="J345" s="9"/>
      <c r="K345" s="8"/>
    </row>
    <row r="346" customFormat="false" ht="28.35" hidden="false" customHeight="false" outlineLevel="0" collapsed="false">
      <c r="A346" s="8" t="s">
        <v>1237</v>
      </c>
      <c r="B346" s="8" t="s">
        <v>31</v>
      </c>
      <c r="C346" s="8" t="s">
        <v>1233</v>
      </c>
      <c r="D346" s="8" t="s">
        <v>94</v>
      </c>
      <c r="E346" s="8" t="s">
        <v>1238</v>
      </c>
      <c r="F346" s="8" t="s">
        <v>217</v>
      </c>
      <c r="G346" s="8"/>
      <c r="H346" s="8" t="s">
        <v>6</v>
      </c>
      <c r="I346" s="8"/>
      <c r="J346" s="9"/>
      <c r="K346" s="8"/>
    </row>
    <row r="347" customFormat="false" ht="28.35" hidden="false" customHeight="false" outlineLevel="0" collapsed="false">
      <c r="A347" s="8" t="s">
        <v>1239</v>
      </c>
      <c r="B347" s="8" t="s">
        <v>31</v>
      </c>
      <c r="C347" s="8" t="s">
        <v>1233</v>
      </c>
      <c r="D347" s="8" t="s">
        <v>94</v>
      </c>
      <c r="E347" s="8" t="s">
        <v>1240</v>
      </c>
      <c r="F347" s="8" t="s">
        <v>1241</v>
      </c>
      <c r="G347" s="8"/>
      <c r="H347" s="8" t="s">
        <v>6</v>
      </c>
      <c r="I347" s="8"/>
      <c r="J347" s="9"/>
      <c r="K347" s="8"/>
    </row>
    <row r="348" customFormat="false" ht="28.35" hidden="false" customHeight="false" outlineLevel="0" collapsed="false">
      <c r="A348" s="8" t="s">
        <v>1242</v>
      </c>
      <c r="B348" s="8" t="s">
        <v>31</v>
      </c>
      <c r="C348" s="8" t="s">
        <v>1233</v>
      </c>
      <c r="D348" s="8" t="s">
        <v>94</v>
      </c>
      <c r="E348" s="8" t="s">
        <v>1243</v>
      </c>
      <c r="F348" s="8" t="s">
        <v>1244</v>
      </c>
      <c r="G348" s="8"/>
      <c r="H348" s="8" t="s">
        <v>6</v>
      </c>
      <c r="I348" s="8"/>
      <c r="J348" s="9"/>
      <c r="K348" s="8"/>
    </row>
    <row r="349" customFormat="false" ht="28.35" hidden="false" customHeight="false" outlineLevel="0" collapsed="false">
      <c r="A349" s="8" t="s">
        <v>1245</v>
      </c>
      <c r="B349" s="8" t="s">
        <v>31</v>
      </c>
      <c r="C349" s="8" t="s">
        <v>1233</v>
      </c>
      <c r="D349" s="8" t="s">
        <v>94</v>
      </c>
      <c r="E349" s="8" t="s">
        <v>1246</v>
      </c>
      <c r="F349" s="8" t="s">
        <v>995</v>
      </c>
      <c r="G349" s="8"/>
      <c r="H349" s="8" t="s">
        <v>6</v>
      </c>
      <c r="I349" s="8"/>
      <c r="J349" s="9"/>
      <c r="K349" s="8"/>
    </row>
    <row r="350" customFormat="false" ht="28.35" hidden="false" customHeight="false" outlineLevel="0" collapsed="false">
      <c r="A350" s="8" t="s">
        <v>1247</v>
      </c>
      <c r="B350" s="8" t="s">
        <v>31</v>
      </c>
      <c r="C350" s="8" t="s">
        <v>1233</v>
      </c>
      <c r="D350" s="8" t="s">
        <v>94</v>
      </c>
      <c r="E350" s="8" t="s">
        <v>1077</v>
      </c>
      <c r="F350" s="8" t="s">
        <v>730</v>
      </c>
      <c r="G350" s="8" t="s">
        <v>717</v>
      </c>
      <c r="H350" s="8" t="s">
        <v>6</v>
      </c>
      <c r="I350" s="8"/>
      <c r="J350" s="9"/>
      <c r="K350" s="8"/>
    </row>
    <row r="351" customFormat="false" ht="28.35" hidden="false" customHeight="false" outlineLevel="0" collapsed="false">
      <c r="A351" s="8" t="s">
        <v>1248</v>
      </c>
      <c r="B351" s="8" t="s">
        <v>32</v>
      </c>
      <c r="C351" s="8" t="s">
        <v>1249</v>
      </c>
      <c r="D351" s="8" t="s">
        <v>94</v>
      </c>
      <c r="E351" s="8" t="s">
        <v>1250</v>
      </c>
      <c r="F351" s="8" t="s">
        <v>1251</v>
      </c>
      <c r="G351" s="8" t="s">
        <v>1252</v>
      </c>
      <c r="H351" s="8" t="s">
        <v>6</v>
      </c>
      <c r="I351" s="8"/>
      <c r="J351" s="9"/>
      <c r="K351" s="8"/>
    </row>
    <row r="352" customFormat="false" ht="28.35" hidden="false" customHeight="false" outlineLevel="0" collapsed="false">
      <c r="A352" s="8" t="s">
        <v>1253</v>
      </c>
      <c r="B352" s="8" t="s">
        <v>32</v>
      </c>
      <c r="C352" s="8" t="s">
        <v>1249</v>
      </c>
      <c r="D352" s="8" t="s">
        <v>94</v>
      </c>
      <c r="E352" s="8" t="s">
        <v>1254</v>
      </c>
      <c r="F352" s="8" t="s">
        <v>1255</v>
      </c>
      <c r="G352" s="8" t="s">
        <v>1256</v>
      </c>
      <c r="H352" s="8" t="s">
        <v>6</v>
      </c>
      <c r="I352" s="8"/>
      <c r="J352" s="9"/>
      <c r="K352" s="8"/>
    </row>
    <row r="353" customFormat="false" ht="28.35" hidden="false" customHeight="false" outlineLevel="0" collapsed="false">
      <c r="A353" s="8" t="s">
        <v>1257</v>
      </c>
      <c r="B353" s="8" t="s">
        <v>32</v>
      </c>
      <c r="C353" s="8" t="s">
        <v>1249</v>
      </c>
      <c r="D353" s="8" t="s">
        <v>94</v>
      </c>
      <c r="E353" s="8" t="s">
        <v>1258</v>
      </c>
      <c r="F353" s="8" t="s">
        <v>217</v>
      </c>
      <c r="G353" s="8"/>
      <c r="H353" s="8" t="s">
        <v>6</v>
      </c>
      <c r="I353" s="8"/>
      <c r="J353" s="9"/>
      <c r="K353" s="8"/>
    </row>
    <row r="354" customFormat="false" ht="28.35" hidden="false" customHeight="false" outlineLevel="0" collapsed="false">
      <c r="A354" s="8" t="s">
        <v>1259</v>
      </c>
      <c r="B354" s="8" t="s">
        <v>32</v>
      </c>
      <c r="C354" s="8" t="s">
        <v>1249</v>
      </c>
      <c r="D354" s="8" t="s">
        <v>94</v>
      </c>
      <c r="E354" s="8" t="s">
        <v>1260</v>
      </c>
      <c r="F354" s="8" t="s">
        <v>1261</v>
      </c>
      <c r="G354" s="8" t="s">
        <v>1262</v>
      </c>
      <c r="H354" s="8" t="s">
        <v>6</v>
      </c>
      <c r="I354" s="8"/>
      <c r="J354" s="9"/>
      <c r="K354" s="8"/>
    </row>
    <row r="355" customFormat="false" ht="28.35" hidden="false" customHeight="false" outlineLevel="0" collapsed="false">
      <c r="A355" s="8" t="s">
        <v>1263</v>
      </c>
      <c r="B355" s="8" t="s">
        <v>32</v>
      </c>
      <c r="C355" s="8" t="s">
        <v>1249</v>
      </c>
      <c r="D355" s="8" t="s">
        <v>94</v>
      </c>
      <c r="E355" s="8" t="s">
        <v>1264</v>
      </c>
      <c r="F355" s="8" t="s">
        <v>217</v>
      </c>
      <c r="G355" s="8" t="s">
        <v>1265</v>
      </c>
      <c r="H355" s="8" t="s">
        <v>6</v>
      </c>
      <c r="I355" s="8"/>
      <c r="J355" s="9"/>
      <c r="K355" s="8"/>
    </row>
    <row r="356" customFormat="false" ht="28.35" hidden="false" customHeight="false" outlineLevel="0" collapsed="false">
      <c r="A356" s="8" t="s">
        <v>1266</v>
      </c>
      <c r="B356" s="8" t="s">
        <v>32</v>
      </c>
      <c r="C356" s="8" t="s">
        <v>1249</v>
      </c>
      <c r="D356" s="8" t="s">
        <v>94</v>
      </c>
      <c r="E356" s="8" t="s">
        <v>1267</v>
      </c>
      <c r="F356" s="8" t="s">
        <v>995</v>
      </c>
      <c r="G356" s="8"/>
      <c r="H356" s="8" t="s">
        <v>6</v>
      </c>
      <c r="I356" s="8"/>
      <c r="J356" s="9"/>
      <c r="K356" s="8"/>
    </row>
    <row r="357" customFormat="false" ht="28.35" hidden="false" customHeight="false" outlineLevel="0" collapsed="false">
      <c r="A357" s="8" t="s">
        <v>1268</v>
      </c>
      <c r="B357" s="8" t="s">
        <v>32</v>
      </c>
      <c r="C357" s="8" t="s">
        <v>1249</v>
      </c>
      <c r="D357" s="8" t="s">
        <v>94</v>
      </c>
      <c r="E357" s="8" t="s">
        <v>1269</v>
      </c>
      <c r="F357" s="8" t="s">
        <v>1218</v>
      </c>
      <c r="G357" s="8"/>
      <c r="H357" s="8" t="s">
        <v>6</v>
      </c>
      <c r="I357" s="8"/>
      <c r="J357" s="9"/>
      <c r="K357" s="8"/>
    </row>
    <row r="358" customFormat="false" ht="41.75" hidden="false" customHeight="false" outlineLevel="0" collapsed="false">
      <c r="A358" s="8" t="s">
        <v>1270</v>
      </c>
      <c r="B358" s="8" t="s">
        <v>32</v>
      </c>
      <c r="C358" s="8" t="s">
        <v>1271</v>
      </c>
      <c r="D358" s="8" t="s">
        <v>94</v>
      </c>
      <c r="E358" s="8" t="s">
        <v>1272</v>
      </c>
      <c r="F358" s="8" t="s">
        <v>1273</v>
      </c>
      <c r="G358" s="8" t="s">
        <v>1274</v>
      </c>
      <c r="H358" s="8" t="s">
        <v>6</v>
      </c>
      <c r="I358" s="8"/>
      <c r="J358" s="9"/>
      <c r="K358" s="8"/>
    </row>
    <row r="359" customFormat="false" ht="41.75" hidden="false" customHeight="false" outlineLevel="0" collapsed="false">
      <c r="A359" s="8" t="s">
        <v>1275</v>
      </c>
      <c r="B359" s="8" t="s">
        <v>32</v>
      </c>
      <c r="C359" s="8" t="s">
        <v>1271</v>
      </c>
      <c r="D359" s="8" t="s">
        <v>94</v>
      </c>
      <c r="E359" s="8" t="s">
        <v>1276</v>
      </c>
      <c r="F359" s="8" t="s">
        <v>1277</v>
      </c>
      <c r="G359" s="8"/>
      <c r="H359" s="8" t="s">
        <v>6</v>
      </c>
      <c r="I359" s="8"/>
      <c r="J359" s="9"/>
      <c r="K359" s="8"/>
    </row>
    <row r="360" customFormat="false" ht="41.75" hidden="false" customHeight="false" outlineLevel="0" collapsed="false">
      <c r="A360" s="8" t="s">
        <v>1278</v>
      </c>
      <c r="B360" s="8" t="s">
        <v>32</v>
      </c>
      <c r="C360" s="8" t="s">
        <v>1271</v>
      </c>
      <c r="D360" s="8" t="s">
        <v>94</v>
      </c>
      <c r="E360" s="8" t="s">
        <v>1279</v>
      </c>
      <c r="F360" s="8" t="s">
        <v>217</v>
      </c>
      <c r="G360" s="8" t="s">
        <v>1280</v>
      </c>
      <c r="H360" s="8" t="s">
        <v>6</v>
      </c>
      <c r="I360" s="8"/>
      <c r="J360" s="9"/>
      <c r="K360" s="8"/>
    </row>
    <row r="361" customFormat="false" ht="41.75" hidden="false" customHeight="false" outlineLevel="0" collapsed="false">
      <c r="A361" s="8" t="s">
        <v>1281</v>
      </c>
      <c r="B361" s="8" t="s">
        <v>32</v>
      </c>
      <c r="C361" s="8" t="s">
        <v>1271</v>
      </c>
      <c r="D361" s="8" t="s">
        <v>94</v>
      </c>
      <c r="E361" s="8" t="s">
        <v>1282</v>
      </c>
      <c r="F361" s="8" t="s">
        <v>1283</v>
      </c>
      <c r="G361" s="8" t="s">
        <v>1280</v>
      </c>
      <c r="H361" s="8" t="s">
        <v>6</v>
      </c>
      <c r="I361" s="8"/>
      <c r="J361" s="9"/>
      <c r="K361" s="8"/>
    </row>
    <row r="362" customFormat="false" ht="41.75" hidden="false" customHeight="false" outlineLevel="0" collapsed="false">
      <c r="A362" s="8" t="s">
        <v>1284</v>
      </c>
      <c r="B362" s="8" t="s">
        <v>32</v>
      </c>
      <c r="C362" s="8" t="s">
        <v>1271</v>
      </c>
      <c r="D362" s="8" t="s">
        <v>94</v>
      </c>
      <c r="E362" s="8" t="s">
        <v>1285</v>
      </c>
      <c r="F362" s="8" t="s">
        <v>1286</v>
      </c>
      <c r="G362" s="8" t="s">
        <v>1256</v>
      </c>
      <c r="H362" s="8" t="s">
        <v>6</v>
      </c>
      <c r="I362" s="8"/>
      <c r="J362" s="9"/>
      <c r="K362" s="8"/>
    </row>
    <row r="363" customFormat="false" ht="41.75" hidden="false" customHeight="false" outlineLevel="0" collapsed="false">
      <c r="A363" s="8" t="s">
        <v>1287</v>
      </c>
      <c r="B363" s="8" t="s">
        <v>32</v>
      </c>
      <c r="C363" s="8" t="s">
        <v>1271</v>
      </c>
      <c r="D363" s="8" t="s">
        <v>94</v>
      </c>
      <c r="E363" s="8" t="s">
        <v>1288</v>
      </c>
      <c r="F363" s="8" t="s">
        <v>217</v>
      </c>
      <c r="G363" s="8"/>
      <c r="H363" s="8" t="s">
        <v>6</v>
      </c>
      <c r="I363" s="8"/>
      <c r="J363" s="9"/>
      <c r="K363" s="8"/>
    </row>
    <row r="364" customFormat="false" ht="41.75" hidden="false" customHeight="false" outlineLevel="0" collapsed="false">
      <c r="A364" s="8" t="s">
        <v>1289</v>
      </c>
      <c r="B364" s="8" t="s">
        <v>32</v>
      </c>
      <c r="C364" s="8" t="s">
        <v>1271</v>
      </c>
      <c r="D364" s="8" t="s">
        <v>94</v>
      </c>
      <c r="E364" s="8" t="s">
        <v>1290</v>
      </c>
      <c r="F364" s="8" t="s">
        <v>1291</v>
      </c>
      <c r="G364" s="8"/>
      <c r="H364" s="8" t="s">
        <v>6</v>
      </c>
      <c r="I364" s="8"/>
      <c r="J364" s="9"/>
      <c r="K364" s="8"/>
    </row>
    <row r="365" customFormat="false" ht="41.75" hidden="false" customHeight="false" outlineLevel="0" collapsed="false">
      <c r="A365" s="8" t="s">
        <v>1292</v>
      </c>
      <c r="B365" s="8" t="s">
        <v>32</v>
      </c>
      <c r="C365" s="8" t="s">
        <v>1293</v>
      </c>
      <c r="D365" s="8" t="s">
        <v>94</v>
      </c>
      <c r="E365" s="8" t="s">
        <v>1294</v>
      </c>
      <c r="F365" s="8" t="s">
        <v>1295</v>
      </c>
      <c r="G365" s="8" t="s">
        <v>1296</v>
      </c>
      <c r="H365" s="8" t="s">
        <v>6</v>
      </c>
      <c r="I365" s="8"/>
      <c r="J365" s="9"/>
      <c r="K365" s="8"/>
    </row>
    <row r="366" customFormat="false" ht="41.75" hidden="false" customHeight="false" outlineLevel="0" collapsed="false">
      <c r="A366" s="8" t="s">
        <v>1297</v>
      </c>
      <c r="B366" s="8" t="s">
        <v>32</v>
      </c>
      <c r="C366" s="8" t="s">
        <v>1293</v>
      </c>
      <c r="D366" s="8" t="s">
        <v>94</v>
      </c>
      <c r="E366" s="8" t="s">
        <v>1298</v>
      </c>
      <c r="F366" s="8" t="s">
        <v>1299</v>
      </c>
      <c r="G366" s="8" t="s">
        <v>1300</v>
      </c>
      <c r="H366" s="8" t="s">
        <v>6</v>
      </c>
      <c r="I366" s="8"/>
      <c r="J366" s="9"/>
      <c r="K366" s="8"/>
    </row>
    <row r="367" customFormat="false" ht="41.75" hidden="false" customHeight="false" outlineLevel="0" collapsed="false">
      <c r="A367" s="8" t="s">
        <v>1301</v>
      </c>
      <c r="B367" s="8" t="s">
        <v>32</v>
      </c>
      <c r="C367" s="8" t="s">
        <v>1293</v>
      </c>
      <c r="D367" s="8" t="s">
        <v>94</v>
      </c>
      <c r="E367" s="8" t="s">
        <v>1302</v>
      </c>
      <c r="F367" s="8" t="s">
        <v>217</v>
      </c>
      <c r="G367" s="8" t="s">
        <v>1300</v>
      </c>
      <c r="H367" s="8" t="s">
        <v>6</v>
      </c>
      <c r="I367" s="8"/>
      <c r="J367" s="9"/>
      <c r="K367" s="8"/>
    </row>
    <row r="368" customFormat="false" ht="15" hidden="false" customHeight="false" outlineLevel="0" collapsed="false">
      <c r="A368" s="8" t="s">
        <v>1303</v>
      </c>
      <c r="B368" s="8" t="s">
        <v>32</v>
      </c>
      <c r="C368" s="8" t="s">
        <v>1304</v>
      </c>
      <c r="D368" s="8" t="s">
        <v>78</v>
      </c>
      <c r="E368" s="8" t="s">
        <v>1305</v>
      </c>
      <c r="F368" s="8" t="s">
        <v>1306</v>
      </c>
      <c r="G368" s="8" t="s">
        <v>1307</v>
      </c>
      <c r="H368" s="8" t="s">
        <v>6</v>
      </c>
      <c r="I368" s="8"/>
      <c r="J368" s="9"/>
      <c r="K368" s="8"/>
    </row>
    <row r="369" customFormat="false" ht="28.35" hidden="false" customHeight="false" outlineLevel="0" collapsed="false">
      <c r="A369" s="8" t="s">
        <v>1308</v>
      </c>
      <c r="B369" s="8" t="s">
        <v>33</v>
      </c>
      <c r="C369" s="8" t="s">
        <v>1309</v>
      </c>
      <c r="D369" s="8" t="s">
        <v>94</v>
      </c>
      <c r="E369" s="8" t="s">
        <v>1310</v>
      </c>
      <c r="F369" s="8" t="s">
        <v>1311</v>
      </c>
      <c r="G369" s="8" t="s">
        <v>1312</v>
      </c>
      <c r="H369" s="8" t="s">
        <v>6</v>
      </c>
      <c r="I369" s="8"/>
      <c r="J369" s="9"/>
      <c r="K369" s="8"/>
    </row>
    <row r="370" customFormat="false" ht="28.35" hidden="false" customHeight="false" outlineLevel="0" collapsed="false">
      <c r="A370" s="8" t="s">
        <v>1313</v>
      </c>
      <c r="B370" s="8" t="s">
        <v>33</v>
      </c>
      <c r="C370" s="8" t="s">
        <v>1309</v>
      </c>
      <c r="D370" s="8" t="s">
        <v>94</v>
      </c>
      <c r="E370" s="8" t="s">
        <v>958</v>
      </c>
      <c r="F370" s="8" t="s">
        <v>959</v>
      </c>
      <c r="G370" s="8"/>
      <c r="H370" s="8" t="s">
        <v>6</v>
      </c>
      <c r="I370" s="8"/>
      <c r="J370" s="9"/>
      <c r="K370" s="8"/>
    </row>
    <row r="371" customFormat="false" ht="28.35" hidden="false" customHeight="false" outlineLevel="0" collapsed="false">
      <c r="A371" s="8" t="s">
        <v>1314</v>
      </c>
      <c r="B371" s="8" t="s">
        <v>33</v>
      </c>
      <c r="C371" s="8" t="s">
        <v>1309</v>
      </c>
      <c r="D371" s="8" t="s">
        <v>94</v>
      </c>
      <c r="E371" s="8" t="s">
        <v>1315</v>
      </c>
      <c r="F371" s="8" t="s">
        <v>1316</v>
      </c>
      <c r="G371" s="8"/>
      <c r="H371" s="8" t="s">
        <v>6</v>
      </c>
      <c r="I371" s="8"/>
      <c r="J371" s="9"/>
      <c r="K371" s="8"/>
    </row>
    <row r="372" customFormat="false" ht="28.35" hidden="false" customHeight="false" outlineLevel="0" collapsed="false">
      <c r="A372" s="8" t="s">
        <v>1317</v>
      </c>
      <c r="B372" s="8" t="s">
        <v>33</v>
      </c>
      <c r="C372" s="8" t="s">
        <v>1309</v>
      </c>
      <c r="D372" s="8" t="s">
        <v>94</v>
      </c>
      <c r="E372" s="8" t="s">
        <v>1318</v>
      </c>
      <c r="F372" s="8" t="s">
        <v>995</v>
      </c>
      <c r="G372" s="8"/>
      <c r="H372" s="8" t="s">
        <v>6</v>
      </c>
      <c r="I372" s="8"/>
      <c r="J372" s="9"/>
      <c r="K372" s="8"/>
    </row>
    <row r="373" customFormat="false" ht="28.35" hidden="false" customHeight="false" outlineLevel="0" collapsed="false">
      <c r="A373" s="8" t="s">
        <v>1319</v>
      </c>
      <c r="B373" s="8" t="s">
        <v>33</v>
      </c>
      <c r="C373" s="8" t="s">
        <v>1309</v>
      </c>
      <c r="D373" s="8" t="s">
        <v>94</v>
      </c>
      <c r="E373" s="8" t="s">
        <v>1320</v>
      </c>
      <c r="F373" s="8" t="s">
        <v>1321</v>
      </c>
      <c r="G373" s="8" t="s">
        <v>1312</v>
      </c>
      <c r="H373" s="8" t="s">
        <v>6</v>
      </c>
      <c r="I373" s="8"/>
      <c r="J373" s="9"/>
      <c r="K373" s="8"/>
    </row>
    <row r="374" customFormat="false" ht="28.35" hidden="false" customHeight="false" outlineLevel="0" collapsed="false">
      <c r="A374" s="8" t="s">
        <v>1322</v>
      </c>
      <c r="B374" s="8" t="s">
        <v>33</v>
      </c>
      <c r="C374" s="8" t="s">
        <v>1309</v>
      </c>
      <c r="D374" s="8" t="s">
        <v>94</v>
      </c>
      <c r="E374" s="8" t="s">
        <v>1323</v>
      </c>
      <c r="F374" s="8" t="s">
        <v>1324</v>
      </c>
      <c r="G374" s="8" t="s">
        <v>243</v>
      </c>
      <c r="H374" s="8" t="s">
        <v>6</v>
      </c>
      <c r="I374" s="8"/>
      <c r="J374" s="9"/>
      <c r="K374" s="8"/>
    </row>
    <row r="375" customFormat="false" ht="28.35" hidden="false" customHeight="false" outlineLevel="0" collapsed="false">
      <c r="A375" s="8" t="s">
        <v>1325</v>
      </c>
      <c r="B375" s="8" t="s">
        <v>34</v>
      </c>
      <c r="C375" s="8" t="s">
        <v>1326</v>
      </c>
      <c r="D375" s="8" t="s">
        <v>94</v>
      </c>
      <c r="E375" s="8" t="s">
        <v>1327</v>
      </c>
      <c r="F375" s="8" t="s">
        <v>1328</v>
      </c>
      <c r="G375" s="8" t="s">
        <v>1329</v>
      </c>
      <c r="H375" s="8" t="s">
        <v>6</v>
      </c>
      <c r="I375" s="8"/>
      <c r="J375" s="9"/>
      <c r="K375" s="8"/>
    </row>
    <row r="376" customFormat="false" ht="28.35" hidden="false" customHeight="false" outlineLevel="0" collapsed="false">
      <c r="A376" s="8" t="s">
        <v>1330</v>
      </c>
      <c r="B376" s="8" t="s">
        <v>34</v>
      </c>
      <c r="C376" s="8" t="s">
        <v>1326</v>
      </c>
      <c r="D376" s="8" t="s">
        <v>94</v>
      </c>
      <c r="E376" s="8" t="s">
        <v>1331</v>
      </c>
      <c r="F376" s="8" t="s">
        <v>1332</v>
      </c>
      <c r="G376" s="8" t="s">
        <v>1333</v>
      </c>
      <c r="H376" s="8" t="s">
        <v>6</v>
      </c>
      <c r="I376" s="8"/>
      <c r="J376" s="9"/>
      <c r="K376" s="8"/>
    </row>
    <row r="377" customFormat="false" ht="28.35" hidden="false" customHeight="false" outlineLevel="0" collapsed="false">
      <c r="A377" s="8" t="s">
        <v>1334</v>
      </c>
      <c r="B377" s="8" t="s">
        <v>34</v>
      </c>
      <c r="C377" s="8" t="s">
        <v>1326</v>
      </c>
      <c r="D377" s="8" t="s">
        <v>94</v>
      </c>
      <c r="E377" s="8" t="s">
        <v>1335</v>
      </c>
      <c r="F377" s="8" t="s">
        <v>1336</v>
      </c>
      <c r="G377" s="8" t="s">
        <v>1333</v>
      </c>
      <c r="H377" s="8" t="s">
        <v>6</v>
      </c>
      <c r="I377" s="8"/>
      <c r="J377" s="9"/>
      <c r="K377" s="8"/>
    </row>
    <row r="378" customFormat="false" ht="28.35" hidden="false" customHeight="false" outlineLevel="0" collapsed="false">
      <c r="A378" s="8" t="s">
        <v>1337</v>
      </c>
      <c r="B378" s="8" t="s">
        <v>34</v>
      </c>
      <c r="C378" s="8" t="s">
        <v>1326</v>
      </c>
      <c r="D378" s="8" t="s">
        <v>94</v>
      </c>
      <c r="E378" s="8" t="s">
        <v>1338</v>
      </c>
      <c r="F378" s="8" t="s">
        <v>1339</v>
      </c>
      <c r="G378" s="8" t="s">
        <v>247</v>
      </c>
      <c r="H378" s="8" t="s">
        <v>6</v>
      </c>
      <c r="I378" s="8"/>
      <c r="J378" s="9"/>
      <c r="K378" s="8"/>
    </row>
    <row r="379" customFormat="false" ht="28.35" hidden="false" customHeight="false" outlineLevel="0" collapsed="false">
      <c r="A379" s="8" t="s">
        <v>1340</v>
      </c>
      <c r="B379" s="8" t="s">
        <v>34</v>
      </c>
      <c r="C379" s="8" t="s">
        <v>1326</v>
      </c>
      <c r="D379" s="8" t="s">
        <v>94</v>
      </c>
      <c r="E379" s="8" t="s">
        <v>1341</v>
      </c>
      <c r="F379" s="8" t="s">
        <v>1342</v>
      </c>
      <c r="G379" s="8" t="s">
        <v>1333</v>
      </c>
      <c r="H379" s="8" t="s">
        <v>6</v>
      </c>
      <c r="I379" s="8"/>
      <c r="J379" s="9"/>
      <c r="K379" s="8"/>
    </row>
    <row r="380" customFormat="false" ht="28.35" hidden="false" customHeight="false" outlineLevel="0" collapsed="false">
      <c r="A380" s="8" t="s">
        <v>1343</v>
      </c>
      <c r="B380" s="8" t="s">
        <v>34</v>
      </c>
      <c r="C380" s="8" t="s">
        <v>1326</v>
      </c>
      <c r="D380" s="8" t="s">
        <v>94</v>
      </c>
      <c r="E380" s="8" t="s">
        <v>1344</v>
      </c>
      <c r="F380" s="8" t="s">
        <v>1345</v>
      </c>
      <c r="G380" s="8" t="s">
        <v>247</v>
      </c>
      <c r="H380" s="8" t="s">
        <v>6</v>
      </c>
      <c r="I380" s="8"/>
      <c r="J380" s="9"/>
      <c r="K380" s="8"/>
    </row>
    <row r="381" customFormat="false" ht="28.35" hidden="false" customHeight="false" outlineLevel="0" collapsed="false">
      <c r="A381" s="8" t="s">
        <v>1346</v>
      </c>
      <c r="B381" s="8" t="s">
        <v>34</v>
      </c>
      <c r="C381" s="8" t="s">
        <v>1326</v>
      </c>
      <c r="D381" s="8" t="s">
        <v>94</v>
      </c>
      <c r="E381" s="8" t="s">
        <v>1347</v>
      </c>
      <c r="F381" s="8" t="s">
        <v>1348</v>
      </c>
      <c r="G381" s="8"/>
      <c r="H381" s="8" t="s">
        <v>6</v>
      </c>
      <c r="I381" s="8"/>
      <c r="J381" s="9"/>
      <c r="K381" s="8"/>
    </row>
    <row r="382" customFormat="false" ht="28.35" hidden="false" customHeight="false" outlineLevel="0" collapsed="false">
      <c r="A382" s="8" t="s">
        <v>1349</v>
      </c>
      <c r="B382" s="8" t="s">
        <v>34</v>
      </c>
      <c r="C382" s="8" t="s">
        <v>1326</v>
      </c>
      <c r="D382" s="8" t="s">
        <v>94</v>
      </c>
      <c r="E382" s="8" t="s">
        <v>1350</v>
      </c>
      <c r="F382" s="8" t="s">
        <v>1351</v>
      </c>
      <c r="G382" s="8" t="s">
        <v>247</v>
      </c>
      <c r="H382" s="8" t="s">
        <v>6</v>
      </c>
      <c r="I382" s="8"/>
      <c r="J382" s="9"/>
      <c r="K382" s="8"/>
    </row>
    <row r="383" customFormat="false" ht="28.35" hidden="false" customHeight="false" outlineLevel="0" collapsed="false">
      <c r="A383" s="8" t="s">
        <v>1352</v>
      </c>
      <c r="B383" s="8" t="s">
        <v>34</v>
      </c>
      <c r="C383" s="8" t="s">
        <v>1326</v>
      </c>
      <c r="D383" s="8" t="s">
        <v>94</v>
      </c>
      <c r="E383" s="8" t="s">
        <v>1353</v>
      </c>
      <c r="F383" s="8" t="s">
        <v>1354</v>
      </c>
      <c r="G383" s="8"/>
      <c r="H383" s="8" t="s">
        <v>6</v>
      </c>
      <c r="I383" s="8"/>
      <c r="J383" s="9"/>
      <c r="K383" s="8"/>
    </row>
    <row r="384" customFormat="false" ht="41.75" hidden="false" customHeight="false" outlineLevel="0" collapsed="false">
      <c r="A384" s="8" t="s">
        <v>1355</v>
      </c>
      <c r="B384" s="8" t="s">
        <v>35</v>
      </c>
      <c r="C384" s="8" t="s">
        <v>1356</v>
      </c>
      <c r="D384" s="8" t="s">
        <v>94</v>
      </c>
      <c r="E384" s="8" t="s">
        <v>1357</v>
      </c>
      <c r="F384" s="8" t="s">
        <v>1358</v>
      </c>
      <c r="G384" s="8" t="s">
        <v>1359</v>
      </c>
      <c r="H384" s="8" t="s">
        <v>6</v>
      </c>
      <c r="I384" s="8"/>
      <c r="J384" s="9"/>
      <c r="K384" s="8"/>
    </row>
    <row r="385" customFormat="false" ht="28.35" hidden="false" customHeight="false" outlineLevel="0" collapsed="false">
      <c r="A385" s="8" t="s">
        <v>1360</v>
      </c>
      <c r="B385" s="8" t="s">
        <v>35</v>
      </c>
      <c r="C385" s="8" t="s">
        <v>1356</v>
      </c>
      <c r="D385" s="8" t="s">
        <v>94</v>
      </c>
      <c r="E385" s="8" t="s">
        <v>1361</v>
      </c>
      <c r="F385" s="8" t="s">
        <v>818</v>
      </c>
      <c r="G385" s="8"/>
      <c r="H385" s="8" t="s">
        <v>6</v>
      </c>
      <c r="I385" s="8"/>
      <c r="J385" s="9"/>
      <c r="K385" s="8"/>
    </row>
    <row r="386" customFormat="false" ht="28.35" hidden="false" customHeight="false" outlineLevel="0" collapsed="false">
      <c r="A386" s="8" t="s">
        <v>1362</v>
      </c>
      <c r="B386" s="8" t="s">
        <v>35</v>
      </c>
      <c r="C386" s="8" t="s">
        <v>1356</v>
      </c>
      <c r="D386" s="8" t="s">
        <v>94</v>
      </c>
      <c r="E386" s="8" t="s">
        <v>1363</v>
      </c>
      <c r="F386" s="8" t="s">
        <v>1364</v>
      </c>
      <c r="G386" s="8"/>
      <c r="H386" s="8" t="s">
        <v>6</v>
      </c>
      <c r="I386" s="8"/>
      <c r="J386" s="9"/>
      <c r="K386" s="8"/>
    </row>
    <row r="387" customFormat="false" ht="28.35" hidden="false" customHeight="false" outlineLevel="0" collapsed="false">
      <c r="A387" s="8" t="s">
        <v>1365</v>
      </c>
      <c r="B387" s="8" t="s">
        <v>35</v>
      </c>
      <c r="C387" s="8" t="s">
        <v>1356</v>
      </c>
      <c r="D387" s="8" t="s">
        <v>94</v>
      </c>
      <c r="E387" s="8" t="s">
        <v>1366</v>
      </c>
      <c r="F387" s="8" t="s">
        <v>1367</v>
      </c>
      <c r="G387" s="8"/>
      <c r="H387" s="8" t="s">
        <v>6</v>
      </c>
      <c r="I387" s="8"/>
      <c r="J387" s="9"/>
      <c r="K387" s="8"/>
    </row>
    <row r="388" customFormat="false" ht="28.35" hidden="false" customHeight="false" outlineLevel="0" collapsed="false">
      <c r="A388" s="8" t="s">
        <v>1368</v>
      </c>
      <c r="B388" s="8" t="s">
        <v>35</v>
      </c>
      <c r="C388" s="8" t="s">
        <v>1356</v>
      </c>
      <c r="D388" s="8" t="s">
        <v>94</v>
      </c>
      <c r="E388" s="8" t="s">
        <v>1369</v>
      </c>
      <c r="F388" s="8" t="s">
        <v>995</v>
      </c>
      <c r="G388" s="8"/>
      <c r="H388" s="8" t="s">
        <v>6</v>
      </c>
      <c r="I388" s="8"/>
      <c r="J388" s="9"/>
      <c r="K388" s="8"/>
    </row>
    <row r="389" customFormat="false" ht="28.35" hidden="false" customHeight="false" outlineLevel="0" collapsed="false">
      <c r="A389" s="8" t="s">
        <v>1370</v>
      </c>
      <c r="B389" s="8" t="s">
        <v>35</v>
      </c>
      <c r="C389" s="8" t="s">
        <v>1356</v>
      </c>
      <c r="D389" s="8" t="s">
        <v>94</v>
      </c>
      <c r="E389" s="8" t="s">
        <v>1077</v>
      </c>
      <c r="F389" s="8" t="s">
        <v>1371</v>
      </c>
      <c r="G389" s="8" t="s">
        <v>717</v>
      </c>
      <c r="H389" s="8" t="s">
        <v>6</v>
      </c>
      <c r="I389" s="8"/>
      <c r="J389" s="9"/>
      <c r="K389" s="8"/>
    </row>
    <row r="390" customFormat="false" ht="15" hidden="false" customHeight="false" outlineLevel="0" collapsed="false">
      <c r="A390" s="8" t="s">
        <v>1372</v>
      </c>
      <c r="B390" s="8" t="s">
        <v>35</v>
      </c>
      <c r="C390" s="8" t="s">
        <v>1356</v>
      </c>
      <c r="D390" s="8" t="s">
        <v>193</v>
      </c>
      <c r="E390" s="8" t="s">
        <v>1373</v>
      </c>
      <c r="F390" s="8" t="s">
        <v>1374</v>
      </c>
      <c r="G390" s="8" t="s">
        <v>1375</v>
      </c>
      <c r="H390" s="8" t="s">
        <v>6</v>
      </c>
      <c r="I390" s="8"/>
      <c r="J390" s="9"/>
      <c r="K390" s="8"/>
    </row>
    <row r="391" customFormat="false" ht="28.35" hidden="false" customHeight="false" outlineLevel="0" collapsed="false">
      <c r="A391" s="8" t="s">
        <v>1376</v>
      </c>
      <c r="B391" s="8" t="s">
        <v>35</v>
      </c>
      <c r="C391" s="8" t="s">
        <v>1356</v>
      </c>
      <c r="D391" s="8" t="s">
        <v>94</v>
      </c>
      <c r="E391" s="8" t="s">
        <v>1377</v>
      </c>
      <c r="F391" s="8" t="s">
        <v>1378</v>
      </c>
      <c r="G391" s="8" t="s">
        <v>1379</v>
      </c>
      <c r="H391" s="8" t="s">
        <v>6</v>
      </c>
      <c r="I391" s="8"/>
      <c r="J391" s="9"/>
      <c r="K391" s="8"/>
    </row>
    <row r="392" customFormat="false" ht="41.75" hidden="false" customHeight="false" outlineLevel="0" collapsed="false">
      <c r="A392" s="8" t="s">
        <v>1380</v>
      </c>
      <c r="B392" s="8" t="s">
        <v>36</v>
      </c>
      <c r="C392" s="8" t="s">
        <v>1381</v>
      </c>
      <c r="D392" s="8" t="s">
        <v>94</v>
      </c>
      <c r="E392" s="8" t="s">
        <v>1382</v>
      </c>
      <c r="F392" s="8" t="s">
        <v>1383</v>
      </c>
      <c r="G392" s="8" t="s">
        <v>1193</v>
      </c>
      <c r="H392" s="8" t="s">
        <v>6</v>
      </c>
      <c r="I392" s="8"/>
      <c r="J392" s="9"/>
      <c r="K392" s="8"/>
    </row>
    <row r="393" customFormat="false" ht="28.35" hidden="false" customHeight="false" outlineLevel="0" collapsed="false">
      <c r="A393" s="8" t="s">
        <v>1384</v>
      </c>
      <c r="B393" s="8" t="s">
        <v>36</v>
      </c>
      <c r="C393" s="8" t="s">
        <v>1381</v>
      </c>
      <c r="D393" s="8" t="s">
        <v>94</v>
      </c>
      <c r="E393" s="8" t="s">
        <v>1310</v>
      </c>
      <c r="F393" s="8" t="s">
        <v>1385</v>
      </c>
      <c r="G393" s="8"/>
      <c r="H393" s="8" t="s">
        <v>6</v>
      </c>
      <c r="I393" s="8"/>
      <c r="J393" s="9"/>
      <c r="K393" s="8"/>
    </row>
    <row r="394" customFormat="false" ht="28.35" hidden="false" customHeight="false" outlineLevel="0" collapsed="false">
      <c r="A394" s="8" t="s">
        <v>1386</v>
      </c>
      <c r="B394" s="8" t="s">
        <v>36</v>
      </c>
      <c r="C394" s="8" t="s">
        <v>1381</v>
      </c>
      <c r="D394" s="8" t="s">
        <v>94</v>
      </c>
      <c r="E394" s="8" t="s">
        <v>1387</v>
      </c>
      <c r="F394" s="8" t="s">
        <v>1388</v>
      </c>
      <c r="G394" s="8"/>
      <c r="H394" s="8" t="s">
        <v>6</v>
      </c>
      <c r="I394" s="8"/>
      <c r="J394" s="9"/>
      <c r="K394" s="8"/>
    </row>
    <row r="395" customFormat="false" ht="28.35" hidden="false" customHeight="false" outlineLevel="0" collapsed="false">
      <c r="A395" s="8" t="s">
        <v>1389</v>
      </c>
      <c r="B395" s="8" t="s">
        <v>36</v>
      </c>
      <c r="C395" s="8" t="s">
        <v>1381</v>
      </c>
      <c r="D395" s="8" t="s">
        <v>94</v>
      </c>
      <c r="E395" s="8" t="s">
        <v>1390</v>
      </c>
      <c r="F395" s="8" t="s">
        <v>1391</v>
      </c>
      <c r="G395" s="8"/>
      <c r="H395" s="8" t="s">
        <v>6</v>
      </c>
      <c r="I395" s="8"/>
      <c r="J395" s="9"/>
      <c r="K395" s="8"/>
    </row>
    <row r="396" customFormat="false" ht="28.35" hidden="false" customHeight="false" outlineLevel="0" collapsed="false">
      <c r="A396" s="8" t="s">
        <v>1392</v>
      </c>
      <c r="B396" s="8" t="s">
        <v>36</v>
      </c>
      <c r="C396" s="8" t="s">
        <v>1381</v>
      </c>
      <c r="D396" s="8" t="s">
        <v>94</v>
      </c>
      <c r="E396" s="8" t="s">
        <v>1393</v>
      </c>
      <c r="F396" s="8" t="s">
        <v>1394</v>
      </c>
      <c r="G396" s="8"/>
      <c r="H396" s="8" t="s">
        <v>6</v>
      </c>
      <c r="I396" s="8"/>
      <c r="J396" s="9"/>
      <c r="K396" s="8"/>
    </row>
    <row r="397" customFormat="false" ht="28.35" hidden="false" customHeight="false" outlineLevel="0" collapsed="false">
      <c r="A397" s="8" t="s">
        <v>1395</v>
      </c>
      <c r="B397" s="8" t="s">
        <v>36</v>
      </c>
      <c r="C397" s="8" t="s">
        <v>1381</v>
      </c>
      <c r="D397" s="8" t="s">
        <v>94</v>
      </c>
      <c r="E397" s="8" t="s">
        <v>1396</v>
      </c>
      <c r="F397" s="8" t="s">
        <v>1397</v>
      </c>
      <c r="G397" s="8"/>
      <c r="H397" s="8" t="s">
        <v>6</v>
      </c>
      <c r="I397" s="8"/>
      <c r="J397" s="9"/>
      <c r="K397" s="8"/>
    </row>
    <row r="398" customFormat="false" ht="28.35" hidden="false" customHeight="false" outlineLevel="0" collapsed="false">
      <c r="A398" s="8" t="s">
        <v>1398</v>
      </c>
      <c r="B398" s="8" t="s">
        <v>36</v>
      </c>
      <c r="C398" s="8" t="s">
        <v>1381</v>
      </c>
      <c r="D398" s="8" t="s">
        <v>94</v>
      </c>
      <c r="E398" s="8" t="s">
        <v>1399</v>
      </c>
      <c r="F398" s="8" t="s">
        <v>1400</v>
      </c>
      <c r="G398" s="8"/>
      <c r="H398" s="8" t="s">
        <v>6</v>
      </c>
      <c r="I398" s="8"/>
      <c r="J398" s="9"/>
      <c r="K398" s="8"/>
    </row>
    <row r="399" customFormat="false" ht="28.35" hidden="false" customHeight="false" outlineLevel="0" collapsed="false">
      <c r="A399" s="8" t="s">
        <v>1401</v>
      </c>
      <c r="B399" s="8" t="s">
        <v>36</v>
      </c>
      <c r="C399" s="8" t="s">
        <v>1381</v>
      </c>
      <c r="D399" s="8" t="s">
        <v>94</v>
      </c>
      <c r="E399" s="8" t="s">
        <v>1402</v>
      </c>
      <c r="F399" s="8" t="s">
        <v>1403</v>
      </c>
      <c r="G399" s="8"/>
      <c r="H399" s="8" t="s">
        <v>6</v>
      </c>
      <c r="I399" s="8"/>
      <c r="J399" s="9"/>
      <c r="K399" s="8"/>
    </row>
    <row r="400" customFormat="false" ht="28.35" hidden="false" customHeight="false" outlineLevel="0" collapsed="false">
      <c r="A400" s="8" t="s">
        <v>1404</v>
      </c>
      <c r="B400" s="8" t="s">
        <v>36</v>
      </c>
      <c r="C400" s="8" t="s">
        <v>1381</v>
      </c>
      <c r="D400" s="8" t="s">
        <v>188</v>
      </c>
      <c r="E400" s="8" t="s">
        <v>1405</v>
      </c>
      <c r="F400" s="8" t="s">
        <v>1406</v>
      </c>
      <c r="G400" s="8" t="s">
        <v>1193</v>
      </c>
      <c r="H400" s="8" t="s">
        <v>6</v>
      </c>
      <c r="I400" s="8"/>
      <c r="J400" s="9"/>
      <c r="K400" s="8"/>
    </row>
    <row r="401" customFormat="false" ht="15" hidden="false" customHeight="false" outlineLevel="0" collapsed="false">
      <c r="A401" s="8" t="s">
        <v>1407</v>
      </c>
      <c r="B401" s="8" t="s">
        <v>37</v>
      </c>
      <c r="C401" s="8" t="s">
        <v>1408</v>
      </c>
      <c r="D401" s="8" t="s">
        <v>193</v>
      </c>
      <c r="E401" s="8" t="s">
        <v>1409</v>
      </c>
      <c r="F401" s="8" t="s">
        <v>1410</v>
      </c>
      <c r="G401" s="8" t="s">
        <v>1411</v>
      </c>
      <c r="H401" s="8" t="s">
        <v>6</v>
      </c>
      <c r="I401" s="8"/>
      <c r="J401" s="9"/>
      <c r="K401" s="8"/>
    </row>
    <row r="402" customFormat="false" ht="15" hidden="false" customHeight="false" outlineLevel="0" collapsed="false">
      <c r="A402" s="8" t="s">
        <v>1412</v>
      </c>
      <c r="B402" s="8" t="s">
        <v>37</v>
      </c>
      <c r="C402" s="8" t="s">
        <v>1408</v>
      </c>
      <c r="D402" s="8" t="s">
        <v>193</v>
      </c>
      <c r="E402" s="8" t="s">
        <v>1413</v>
      </c>
      <c r="F402" s="8" t="s">
        <v>1414</v>
      </c>
      <c r="G402" s="8" t="s">
        <v>1411</v>
      </c>
      <c r="H402" s="8" t="s">
        <v>6</v>
      </c>
      <c r="I402" s="8"/>
      <c r="J402" s="9"/>
      <c r="K402" s="8"/>
    </row>
    <row r="403" customFormat="false" ht="15" hidden="false" customHeight="false" outlineLevel="0" collapsed="false">
      <c r="A403" s="8" t="s">
        <v>1415</v>
      </c>
      <c r="B403" s="8" t="s">
        <v>37</v>
      </c>
      <c r="C403" s="8" t="s">
        <v>1408</v>
      </c>
      <c r="D403" s="8" t="s">
        <v>193</v>
      </c>
      <c r="E403" s="8" t="s">
        <v>1416</v>
      </c>
      <c r="F403" s="8" t="s">
        <v>1417</v>
      </c>
      <c r="G403" s="8" t="s">
        <v>1418</v>
      </c>
      <c r="H403" s="8" t="s">
        <v>6</v>
      </c>
      <c r="I403" s="8"/>
      <c r="J403" s="9"/>
      <c r="K403" s="8"/>
    </row>
    <row r="404" customFormat="false" ht="15" hidden="false" customHeight="false" outlineLevel="0" collapsed="false">
      <c r="A404" s="8" t="s">
        <v>1419</v>
      </c>
      <c r="B404" s="8" t="s">
        <v>37</v>
      </c>
      <c r="C404" s="8" t="s">
        <v>1408</v>
      </c>
      <c r="D404" s="8" t="s">
        <v>193</v>
      </c>
      <c r="E404" s="8" t="s">
        <v>955</v>
      </c>
      <c r="F404" s="8" t="s">
        <v>1385</v>
      </c>
      <c r="G404" s="8" t="s">
        <v>1411</v>
      </c>
      <c r="H404" s="8" t="s">
        <v>6</v>
      </c>
      <c r="I404" s="8"/>
      <c r="J404" s="9"/>
      <c r="K404" s="8"/>
    </row>
    <row r="405" customFormat="false" ht="15" hidden="false" customHeight="false" outlineLevel="0" collapsed="false">
      <c r="A405" s="8" t="s">
        <v>1420</v>
      </c>
      <c r="B405" s="8" t="s">
        <v>37</v>
      </c>
      <c r="C405" s="8" t="s">
        <v>1408</v>
      </c>
      <c r="D405" s="8" t="s">
        <v>193</v>
      </c>
      <c r="E405" s="8" t="s">
        <v>1421</v>
      </c>
      <c r="F405" s="8" t="s">
        <v>1422</v>
      </c>
      <c r="G405" s="8" t="s">
        <v>655</v>
      </c>
      <c r="H405" s="8" t="s">
        <v>6</v>
      </c>
      <c r="I405" s="8"/>
      <c r="J405" s="9"/>
      <c r="K405" s="8"/>
    </row>
    <row r="406" customFormat="false" ht="15" hidden="false" customHeight="false" outlineLevel="0" collapsed="false">
      <c r="A406" s="8" t="s">
        <v>1423</v>
      </c>
      <c r="B406" s="8" t="s">
        <v>37</v>
      </c>
      <c r="C406" s="8" t="s">
        <v>1408</v>
      </c>
      <c r="D406" s="8" t="s">
        <v>193</v>
      </c>
      <c r="E406" s="8" t="s">
        <v>1424</v>
      </c>
      <c r="F406" s="8" t="s">
        <v>1425</v>
      </c>
      <c r="G406" s="8" t="s">
        <v>655</v>
      </c>
      <c r="H406" s="8" t="s">
        <v>6</v>
      </c>
      <c r="I406" s="8"/>
      <c r="J406" s="9"/>
      <c r="K406" s="8"/>
    </row>
    <row r="407" customFormat="false" ht="15" hidden="false" customHeight="false" outlineLevel="0" collapsed="false">
      <c r="A407" s="8" t="s">
        <v>1426</v>
      </c>
      <c r="B407" s="8" t="s">
        <v>37</v>
      </c>
      <c r="C407" s="8" t="s">
        <v>1408</v>
      </c>
      <c r="D407" s="8" t="s">
        <v>193</v>
      </c>
      <c r="E407" s="8" t="s">
        <v>1427</v>
      </c>
      <c r="F407" s="8" t="s">
        <v>1428</v>
      </c>
      <c r="G407" s="8" t="s">
        <v>1418</v>
      </c>
      <c r="H407" s="8" t="s">
        <v>6</v>
      </c>
      <c r="I407" s="8"/>
      <c r="J407" s="9"/>
      <c r="K407" s="8"/>
    </row>
    <row r="408" customFormat="false" ht="15" hidden="false" customHeight="false" outlineLevel="0" collapsed="false">
      <c r="A408" s="8" t="s">
        <v>1429</v>
      </c>
      <c r="B408" s="8" t="s">
        <v>37</v>
      </c>
      <c r="C408" s="8" t="s">
        <v>1408</v>
      </c>
      <c r="D408" s="8" t="s">
        <v>193</v>
      </c>
      <c r="E408" s="8" t="s">
        <v>1430</v>
      </c>
      <c r="F408" s="8" t="s">
        <v>1431</v>
      </c>
      <c r="G408" s="8"/>
      <c r="H408" s="8" t="s">
        <v>6</v>
      </c>
      <c r="I408" s="8"/>
      <c r="J408" s="9"/>
      <c r="K408" s="8"/>
    </row>
    <row r="409" customFormat="false" ht="15" hidden="false" customHeight="false" outlineLevel="0" collapsed="false">
      <c r="A409" s="8" t="s">
        <v>1432</v>
      </c>
      <c r="B409" s="8" t="s">
        <v>37</v>
      </c>
      <c r="C409" s="8" t="s">
        <v>1408</v>
      </c>
      <c r="D409" s="8" t="s">
        <v>193</v>
      </c>
      <c r="E409" s="8" t="s">
        <v>1433</v>
      </c>
      <c r="F409" s="8" t="s">
        <v>1434</v>
      </c>
      <c r="G409" s="8" t="s">
        <v>628</v>
      </c>
      <c r="H409" s="8" t="s">
        <v>6</v>
      </c>
      <c r="I409" s="8"/>
      <c r="J409" s="9"/>
      <c r="K409" s="8"/>
    </row>
    <row r="410" customFormat="false" ht="28.35" hidden="false" customHeight="false" outlineLevel="0" collapsed="false">
      <c r="A410" s="8" t="s">
        <v>1435</v>
      </c>
      <c r="B410" s="8" t="s">
        <v>38</v>
      </c>
      <c r="C410" s="8" t="s">
        <v>1436</v>
      </c>
      <c r="D410" s="8" t="s">
        <v>94</v>
      </c>
      <c r="E410" s="8" t="s">
        <v>1437</v>
      </c>
      <c r="F410" s="8" t="s">
        <v>1438</v>
      </c>
      <c r="G410" s="8" t="s">
        <v>1439</v>
      </c>
      <c r="H410" s="8" t="s">
        <v>6</v>
      </c>
      <c r="I410" s="8"/>
      <c r="J410" s="9"/>
      <c r="K410" s="8"/>
    </row>
    <row r="411" customFormat="false" ht="28.35" hidden="false" customHeight="false" outlineLevel="0" collapsed="false">
      <c r="A411" s="8" t="s">
        <v>1440</v>
      </c>
      <c r="B411" s="8" t="s">
        <v>38</v>
      </c>
      <c r="C411" s="8" t="s">
        <v>1436</v>
      </c>
      <c r="D411" s="8" t="s">
        <v>94</v>
      </c>
      <c r="E411" s="8" t="s">
        <v>1441</v>
      </c>
      <c r="F411" s="8" t="s">
        <v>1442</v>
      </c>
      <c r="G411" s="8" t="s">
        <v>1443</v>
      </c>
      <c r="H411" s="8" t="s">
        <v>6</v>
      </c>
      <c r="I411" s="8"/>
      <c r="J411" s="9"/>
      <c r="K411" s="8"/>
    </row>
    <row r="412" customFormat="false" ht="28.35" hidden="false" customHeight="false" outlineLevel="0" collapsed="false">
      <c r="A412" s="8" t="s">
        <v>1444</v>
      </c>
      <c r="B412" s="8" t="s">
        <v>38</v>
      </c>
      <c r="C412" s="8" t="s">
        <v>1436</v>
      </c>
      <c r="D412" s="8" t="s">
        <v>94</v>
      </c>
      <c r="E412" s="8" t="s">
        <v>1445</v>
      </c>
      <c r="F412" s="8" t="s">
        <v>1446</v>
      </c>
      <c r="G412" s="8" t="s">
        <v>1443</v>
      </c>
      <c r="H412" s="8" t="s">
        <v>6</v>
      </c>
      <c r="I412" s="8"/>
      <c r="J412" s="9"/>
      <c r="K412" s="8"/>
    </row>
    <row r="413" customFormat="false" ht="28.35" hidden="false" customHeight="false" outlineLevel="0" collapsed="false">
      <c r="A413" s="8" t="s">
        <v>1447</v>
      </c>
      <c r="B413" s="8" t="s">
        <v>38</v>
      </c>
      <c r="C413" s="8" t="s">
        <v>1436</v>
      </c>
      <c r="D413" s="8" t="s">
        <v>94</v>
      </c>
      <c r="E413" s="8" t="s">
        <v>1448</v>
      </c>
      <c r="F413" s="8" t="s">
        <v>1438</v>
      </c>
      <c r="G413" s="8" t="s">
        <v>1439</v>
      </c>
      <c r="H413" s="8" t="s">
        <v>6</v>
      </c>
      <c r="I413" s="8"/>
      <c r="J413" s="9"/>
      <c r="K413" s="8"/>
    </row>
    <row r="414" customFormat="false" ht="28.35" hidden="false" customHeight="false" outlineLevel="0" collapsed="false">
      <c r="A414" s="8" t="s">
        <v>1449</v>
      </c>
      <c r="B414" s="8" t="s">
        <v>38</v>
      </c>
      <c r="C414" s="8" t="s">
        <v>1436</v>
      </c>
      <c r="D414" s="8" t="s">
        <v>94</v>
      </c>
      <c r="E414" s="8" t="s">
        <v>1450</v>
      </c>
      <c r="F414" s="8" t="s">
        <v>1442</v>
      </c>
      <c r="G414" s="8" t="s">
        <v>1443</v>
      </c>
      <c r="H414" s="8" t="s">
        <v>6</v>
      </c>
      <c r="I414" s="8"/>
      <c r="J414" s="9"/>
      <c r="K414" s="8"/>
    </row>
    <row r="415" customFormat="false" ht="28.35" hidden="false" customHeight="false" outlineLevel="0" collapsed="false">
      <c r="A415" s="8" t="s">
        <v>1451</v>
      </c>
      <c r="B415" s="8" t="s">
        <v>38</v>
      </c>
      <c r="C415" s="8" t="s">
        <v>1436</v>
      </c>
      <c r="D415" s="8" t="s">
        <v>94</v>
      </c>
      <c r="E415" s="8" t="s">
        <v>1452</v>
      </c>
      <c r="F415" s="8" t="s">
        <v>1446</v>
      </c>
      <c r="G415" s="8" t="s">
        <v>1443</v>
      </c>
      <c r="H415" s="8" t="s">
        <v>6</v>
      </c>
      <c r="I415" s="8"/>
      <c r="J415" s="9"/>
      <c r="K415" s="8"/>
    </row>
    <row r="416" customFormat="false" ht="28.35" hidden="false" customHeight="false" outlineLevel="0" collapsed="false">
      <c r="A416" s="8" t="s">
        <v>1453</v>
      </c>
      <c r="B416" s="8" t="s">
        <v>38</v>
      </c>
      <c r="C416" s="8" t="s">
        <v>1436</v>
      </c>
      <c r="D416" s="8" t="s">
        <v>94</v>
      </c>
      <c r="E416" s="8" t="s">
        <v>1454</v>
      </c>
      <c r="F416" s="8" t="s">
        <v>1455</v>
      </c>
      <c r="G416" s="8" t="s">
        <v>1082</v>
      </c>
      <c r="H416" s="8" t="s">
        <v>6</v>
      </c>
      <c r="I416" s="8"/>
      <c r="J416" s="9"/>
      <c r="K416" s="8"/>
    </row>
    <row r="417" customFormat="false" ht="28.35" hidden="false" customHeight="false" outlineLevel="0" collapsed="false">
      <c r="A417" s="8" t="s">
        <v>1456</v>
      </c>
      <c r="B417" s="8" t="s">
        <v>38</v>
      </c>
      <c r="C417" s="8" t="s">
        <v>1436</v>
      </c>
      <c r="D417" s="8" t="s">
        <v>94</v>
      </c>
      <c r="E417" s="8" t="s">
        <v>1457</v>
      </c>
      <c r="F417" s="8" t="s">
        <v>1458</v>
      </c>
      <c r="G417" s="8" t="s">
        <v>1082</v>
      </c>
      <c r="H417" s="8" t="s">
        <v>6</v>
      </c>
      <c r="I417" s="8"/>
      <c r="J417" s="9"/>
      <c r="K417" s="8"/>
    </row>
    <row r="418" customFormat="false" ht="28.35" hidden="false" customHeight="false" outlineLevel="0" collapsed="false">
      <c r="A418" s="8" t="s">
        <v>1459</v>
      </c>
      <c r="B418" s="8" t="s">
        <v>38</v>
      </c>
      <c r="C418" s="8" t="s">
        <v>1436</v>
      </c>
      <c r="D418" s="8" t="s">
        <v>94</v>
      </c>
      <c r="E418" s="8" t="s">
        <v>1460</v>
      </c>
      <c r="F418" s="8" t="s">
        <v>1446</v>
      </c>
      <c r="G418" s="8" t="s">
        <v>1443</v>
      </c>
      <c r="H418" s="8" t="s">
        <v>6</v>
      </c>
      <c r="I418" s="8"/>
      <c r="J418" s="9"/>
      <c r="K418" s="8"/>
    </row>
    <row r="419" customFormat="false" ht="28.35" hidden="false" customHeight="false" outlineLevel="0" collapsed="false">
      <c r="A419" s="8" t="s">
        <v>1461</v>
      </c>
      <c r="B419" s="8" t="s">
        <v>38</v>
      </c>
      <c r="C419" s="8" t="s">
        <v>1436</v>
      </c>
      <c r="D419" s="8" t="s">
        <v>94</v>
      </c>
      <c r="E419" s="8" t="s">
        <v>1462</v>
      </c>
      <c r="F419" s="8" t="s">
        <v>1455</v>
      </c>
      <c r="G419" s="8" t="s">
        <v>1082</v>
      </c>
      <c r="H419" s="8" t="s">
        <v>6</v>
      </c>
      <c r="I419" s="8"/>
      <c r="J419" s="9"/>
      <c r="K419" s="8"/>
    </row>
    <row r="420" customFormat="false" ht="28.35" hidden="false" customHeight="false" outlineLevel="0" collapsed="false">
      <c r="A420" s="8" t="s">
        <v>1463</v>
      </c>
      <c r="B420" s="8" t="s">
        <v>38</v>
      </c>
      <c r="C420" s="8" t="s">
        <v>1436</v>
      </c>
      <c r="D420" s="8" t="s">
        <v>94</v>
      </c>
      <c r="E420" s="8" t="s">
        <v>1464</v>
      </c>
      <c r="F420" s="8" t="s">
        <v>1458</v>
      </c>
      <c r="G420" s="8" t="s">
        <v>1082</v>
      </c>
      <c r="H420" s="8" t="s">
        <v>6</v>
      </c>
      <c r="I420" s="8"/>
      <c r="J420" s="9"/>
      <c r="K420" s="8"/>
    </row>
    <row r="421" customFormat="false" ht="28.35" hidden="false" customHeight="false" outlineLevel="0" collapsed="false">
      <c r="A421" s="8" t="s">
        <v>1465</v>
      </c>
      <c r="B421" s="8" t="s">
        <v>38</v>
      </c>
      <c r="C421" s="8" t="s">
        <v>1436</v>
      </c>
      <c r="D421" s="8" t="s">
        <v>94</v>
      </c>
      <c r="E421" s="8" t="s">
        <v>1466</v>
      </c>
      <c r="F421" s="8" t="s">
        <v>1446</v>
      </c>
      <c r="G421" s="8" t="s">
        <v>1443</v>
      </c>
      <c r="H421" s="8" t="s">
        <v>6</v>
      </c>
      <c r="I421" s="8"/>
      <c r="J421" s="9"/>
      <c r="K421" s="8"/>
    </row>
    <row r="422" customFormat="false" ht="28.35" hidden="false" customHeight="false" outlineLevel="0" collapsed="false">
      <c r="A422" s="8" t="s">
        <v>1467</v>
      </c>
      <c r="B422" s="8" t="s">
        <v>38</v>
      </c>
      <c r="C422" s="8" t="s">
        <v>1436</v>
      </c>
      <c r="D422" s="8" t="s">
        <v>94</v>
      </c>
      <c r="E422" s="8" t="s">
        <v>1468</v>
      </c>
      <c r="F422" s="8" t="s">
        <v>1438</v>
      </c>
      <c r="G422" s="8" t="s">
        <v>1439</v>
      </c>
      <c r="H422" s="8" t="s">
        <v>6</v>
      </c>
      <c r="I422" s="8"/>
      <c r="J422" s="9"/>
      <c r="K422" s="8"/>
    </row>
    <row r="423" customFormat="false" ht="28.35" hidden="false" customHeight="false" outlineLevel="0" collapsed="false">
      <c r="A423" s="8" t="s">
        <v>1469</v>
      </c>
      <c r="B423" s="8" t="s">
        <v>38</v>
      </c>
      <c r="C423" s="8" t="s">
        <v>1436</v>
      </c>
      <c r="D423" s="8" t="s">
        <v>94</v>
      </c>
      <c r="E423" s="8" t="s">
        <v>1470</v>
      </c>
      <c r="F423" s="8" t="s">
        <v>1442</v>
      </c>
      <c r="G423" s="8" t="s">
        <v>1443</v>
      </c>
      <c r="H423" s="8" t="s">
        <v>6</v>
      </c>
      <c r="I423" s="8"/>
      <c r="J423" s="9"/>
      <c r="K423" s="8"/>
    </row>
    <row r="424" customFormat="false" ht="28.35" hidden="false" customHeight="false" outlineLevel="0" collapsed="false">
      <c r="A424" s="8" t="s">
        <v>1471</v>
      </c>
      <c r="B424" s="8" t="s">
        <v>38</v>
      </c>
      <c r="C424" s="8" t="s">
        <v>1436</v>
      </c>
      <c r="D424" s="8" t="s">
        <v>94</v>
      </c>
      <c r="E424" s="8" t="s">
        <v>1472</v>
      </c>
      <c r="F424" s="8" t="s">
        <v>1446</v>
      </c>
      <c r="G424" s="8" t="s">
        <v>1443</v>
      </c>
      <c r="H424" s="8" t="s">
        <v>6</v>
      </c>
      <c r="I424" s="8"/>
      <c r="J424" s="9"/>
      <c r="K424" s="8"/>
    </row>
    <row r="425" customFormat="false" ht="28.35" hidden="false" customHeight="false" outlineLevel="0" collapsed="false">
      <c r="A425" s="8" t="s">
        <v>1473</v>
      </c>
      <c r="B425" s="8" t="s">
        <v>38</v>
      </c>
      <c r="C425" s="8" t="s">
        <v>1436</v>
      </c>
      <c r="D425" s="8" t="s">
        <v>94</v>
      </c>
      <c r="E425" s="8" t="s">
        <v>1474</v>
      </c>
      <c r="F425" s="8" t="s">
        <v>1438</v>
      </c>
      <c r="G425" s="8" t="s">
        <v>1439</v>
      </c>
      <c r="H425" s="8" t="s">
        <v>6</v>
      </c>
      <c r="I425" s="8"/>
      <c r="J425" s="9"/>
      <c r="K425" s="8"/>
    </row>
    <row r="426" customFormat="false" ht="28.35" hidden="false" customHeight="false" outlineLevel="0" collapsed="false">
      <c r="A426" s="8" t="s">
        <v>1475</v>
      </c>
      <c r="B426" s="8" t="s">
        <v>38</v>
      </c>
      <c r="C426" s="8" t="s">
        <v>1436</v>
      </c>
      <c r="D426" s="8" t="s">
        <v>94</v>
      </c>
      <c r="E426" s="8" t="s">
        <v>1476</v>
      </c>
      <c r="F426" s="8" t="s">
        <v>1442</v>
      </c>
      <c r="G426" s="8" t="s">
        <v>1443</v>
      </c>
      <c r="H426" s="8" t="s">
        <v>6</v>
      </c>
      <c r="I426" s="8"/>
      <c r="J426" s="9"/>
      <c r="K426" s="8"/>
    </row>
    <row r="427" customFormat="false" ht="28.35" hidden="false" customHeight="false" outlineLevel="0" collapsed="false">
      <c r="A427" s="8" t="s">
        <v>1477</v>
      </c>
      <c r="B427" s="8" t="s">
        <v>38</v>
      </c>
      <c r="C427" s="8" t="s">
        <v>1436</v>
      </c>
      <c r="D427" s="8" t="s">
        <v>94</v>
      </c>
      <c r="E427" s="8" t="s">
        <v>1478</v>
      </c>
      <c r="F427" s="8" t="s">
        <v>1446</v>
      </c>
      <c r="G427" s="8" t="s">
        <v>1443</v>
      </c>
      <c r="H427" s="8" t="s">
        <v>6</v>
      </c>
      <c r="I427" s="8"/>
      <c r="J427" s="9"/>
      <c r="K427" s="8"/>
    </row>
    <row r="428" customFormat="false" ht="28.35" hidden="false" customHeight="false" outlineLevel="0" collapsed="false">
      <c r="A428" s="8" t="s">
        <v>1479</v>
      </c>
      <c r="B428" s="8" t="s">
        <v>38</v>
      </c>
      <c r="C428" s="8" t="s">
        <v>1436</v>
      </c>
      <c r="D428" s="8" t="s">
        <v>94</v>
      </c>
      <c r="E428" s="8" t="s">
        <v>1480</v>
      </c>
      <c r="F428" s="8" t="s">
        <v>1438</v>
      </c>
      <c r="G428" s="8" t="s">
        <v>1439</v>
      </c>
      <c r="H428" s="8" t="s">
        <v>6</v>
      </c>
      <c r="I428" s="8"/>
      <c r="J428" s="9"/>
      <c r="K428" s="8"/>
    </row>
    <row r="429" customFormat="false" ht="28.35" hidden="false" customHeight="false" outlineLevel="0" collapsed="false">
      <c r="A429" s="8" t="s">
        <v>1481</v>
      </c>
      <c r="B429" s="8" t="s">
        <v>38</v>
      </c>
      <c r="C429" s="8" t="s">
        <v>1436</v>
      </c>
      <c r="D429" s="8" t="s">
        <v>94</v>
      </c>
      <c r="E429" s="8" t="s">
        <v>1482</v>
      </c>
      <c r="F429" s="8" t="s">
        <v>1442</v>
      </c>
      <c r="G429" s="8" t="s">
        <v>1443</v>
      </c>
      <c r="H429" s="8" t="s">
        <v>6</v>
      </c>
      <c r="I429" s="8"/>
      <c r="J429" s="9"/>
      <c r="K429" s="8"/>
    </row>
    <row r="430" customFormat="false" ht="28.35" hidden="false" customHeight="false" outlineLevel="0" collapsed="false">
      <c r="A430" s="8" t="s">
        <v>1483</v>
      </c>
      <c r="B430" s="8" t="s">
        <v>38</v>
      </c>
      <c r="C430" s="8" t="s">
        <v>1436</v>
      </c>
      <c r="D430" s="8" t="s">
        <v>94</v>
      </c>
      <c r="E430" s="8" t="s">
        <v>1484</v>
      </c>
      <c r="F430" s="8" t="s">
        <v>1446</v>
      </c>
      <c r="G430" s="8" t="s">
        <v>1443</v>
      </c>
      <c r="H430" s="8" t="s">
        <v>6</v>
      </c>
      <c r="I430" s="8"/>
      <c r="J430" s="9"/>
      <c r="K430" s="8"/>
    </row>
    <row r="431" customFormat="false" ht="28.35" hidden="false" customHeight="false" outlineLevel="0" collapsed="false">
      <c r="A431" s="8" t="s">
        <v>1485</v>
      </c>
      <c r="B431" s="8" t="s">
        <v>38</v>
      </c>
      <c r="C431" s="8" t="s">
        <v>1436</v>
      </c>
      <c r="D431" s="8" t="s">
        <v>94</v>
      </c>
      <c r="E431" s="8" t="s">
        <v>1486</v>
      </c>
      <c r="F431" s="8" t="s">
        <v>1487</v>
      </c>
      <c r="G431" s="8" t="s">
        <v>727</v>
      </c>
      <c r="H431" s="8" t="s">
        <v>6</v>
      </c>
      <c r="I431" s="8"/>
      <c r="J431" s="9"/>
      <c r="K431" s="8"/>
    </row>
    <row r="432" customFormat="false" ht="28.35" hidden="false" customHeight="false" outlineLevel="0" collapsed="false">
      <c r="A432" s="8" t="s">
        <v>1488</v>
      </c>
      <c r="B432" s="8" t="s">
        <v>38</v>
      </c>
      <c r="C432" s="8" t="s">
        <v>1436</v>
      </c>
      <c r="D432" s="8" t="s">
        <v>94</v>
      </c>
      <c r="E432" s="8" t="s">
        <v>1489</v>
      </c>
      <c r="F432" s="8" t="s">
        <v>1490</v>
      </c>
      <c r="G432" s="8" t="s">
        <v>1082</v>
      </c>
      <c r="H432" s="8" t="s">
        <v>6</v>
      </c>
      <c r="I432" s="8"/>
      <c r="J432" s="9"/>
      <c r="K432" s="8"/>
    </row>
    <row r="433" customFormat="false" ht="28.35" hidden="false" customHeight="false" outlineLevel="0" collapsed="false">
      <c r="A433" s="8" t="s">
        <v>1491</v>
      </c>
      <c r="B433" s="8" t="s">
        <v>38</v>
      </c>
      <c r="C433" s="8" t="s">
        <v>1436</v>
      </c>
      <c r="D433" s="8" t="s">
        <v>94</v>
      </c>
      <c r="E433" s="8" t="s">
        <v>1492</v>
      </c>
      <c r="F433" s="8" t="s">
        <v>1493</v>
      </c>
      <c r="G433" s="8" t="s">
        <v>791</v>
      </c>
      <c r="H433" s="8" t="s">
        <v>6</v>
      </c>
      <c r="I433" s="8"/>
      <c r="J433" s="9"/>
      <c r="K433" s="8"/>
    </row>
    <row r="434" customFormat="false" ht="28.35" hidden="false" customHeight="false" outlineLevel="0" collapsed="false">
      <c r="A434" s="8" t="s">
        <v>1494</v>
      </c>
      <c r="B434" s="8" t="s">
        <v>38</v>
      </c>
      <c r="C434" s="8" t="s">
        <v>1436</v>
      </c>
      <c r="D434" s="8" t="s">
        <v>94</v>
      </c>
      <c r="E434" s="8" t="s">
        <v>1495</v>
      </c>
      <c r="F434" s="8" t="s">
        <v>1496</v>
      </c>
      <c r="G434" s="8" t="s">
        <v>1359</v>
      </c>
      <c r="H434" s="8" t="s">
        <v>6</v>
      </c>
      <c r="I434" s="8"/>
      <c r="J434" s="9"/>
      <c r="K434" s="8"/>
    </row>
    <row r="435" customFormat="false" ht="28.35" hidden="false" customHeight="false" outlineLevel="0" collapsed="false">
      <c r="A435" s="8" t="s">
        <v>1497</v>
      </c>
      <c r="B435" s="8" t="s">
        <v>39</v>
      </c>
      <c r="C435" s="8" t="s">
        <v>1498</v>
      </c>
      <c r="D435" s="8" t="s">
        <v>188</v>
      </c>
      <c r="E435" s="8" t="s">
        <v>1499</v>
      </c>
      <c r="F435" s="8" t="s">
        <v>1500</v>
      </c>
      <c r="G435" s="8"/>
      <c r="H435" s="8" t="s">
        <v>6</v>
      </c>
      <c r="I435" s="8"/>
      <c r="J435" s="9"/>
      <c r="K435" s="8"/>
    </row>
    <row r="436" customFormat="false" ht="28.35" hidden="false" customHeight="false" outlineLevel="0" collapsed="false">
      <c r="A436" s="8" t="s">
        <v>1501</v>
      </c>
      <c r="B436" s="8" t="s">
        <v>39</v>
      </c>
      <c r="C436" s="8" t="s">
        <v>1498</v>
      </c>
      <c r="D436" s="8" t="s">
        <v>188</v>
      </c>
      <c r="E436" s="8" t="s">
        <v>1502</v>
      </c>
      <c r="F436" s="8" t="s">
        <v>1503</v>
      </c>
      <c r="G436" s="8" t="s">
        <v>594</v>
      </c>
      <c r="H436" s="8" t="s">
        <v>6</v>
      </c>
      <c r="I436" s="8"/>
      <c r="J436" s="9"/>
      <c r="K436" s="8"/>
    </row>
    <row r="437" customFormat="false" ht="28.35" hidden="false" customHeight="false" outlineLevel="0" collapsed="false">
      <c r="A437" s="8" t="s">
        <v>1504</v>
      </c>
      <c r="B437" s="8" t="s">
        <v>39</v>
      </c>
      <c r="C437" s="8" t="s">
        <v>1498</v>
      </c>
      <c r="D437" s="8" t="s">
        <v>94</v>
      </c>
      <c r="E437" s="8" t="s">
        <v>1505</v>
      </c>
      <c r="F437" s="8" t="s">
        <v>1506</v>
      </c>
      <c r="G437" s="8" t="s">
        <v>270</v>
      </c>
      <c r="H437" s="8" t="s">
        <v>6</v>
      </c>
      <c r="I437" s="8"/>
      <c r="J437" s="9"/>
      <c r="K437" s="8"/>
    </row>
    <row r="438" customFormat="false" ht="28.35" hidden="false" customHeight="false" outlineLevel="0" collapsed="false">
      <c r="A438" s="8" t="s">
        <v>1507</v>
      </c>
      <c r="B438" s="8" t="s">
        <v>39</v>
      </c>
      <c r="C438" s="8" t="s">
        <v>1498</v>
      </c>
      <c r="D438" s="8" t="s">
        <v>193</v>
      </c>
      <c r="E438" s="8" t="s">
        <v>1508</v>
      </c>
      <c r="F438" s="8" t="s">
        <v>1509</v>
      </c>
      <c r="G438" s="8"/>
      <c r="H438" s="8" t="s">
        <v>6</v>
      </c>
      <c r="I438" s="8"/>
      <c r="J438" s="9"/>
      <c r="K438" s="8"/>
    </row>
    <row r="439" customFormat="false" ht="28.35" hidden="false" customHeight="false" outlineLevel="0" collapsed="false">
      <c r="A439" s="8" t="s">
        <v>1510</v>
      </c>
      <c r="B439" s="8" t="s">
        <v>39</v>
      </c>
      <c r="C439" s="8" t="s">
        <v>1498</v>
      </c>
      <c r="D439" s="8" t="s">
        <v>188</v>
      </c>
      <c r="E439" s="8" t="s">
        <v>1511</v>
      </c>
      <c r="F439" s="8" t="s">
        <v>1512</v>
      </c>
      <c r="G439" s="8"/>
      <c r="H439" s="8" t="s">
        <v>6</v>
      </c>
      <c r="I439" s="8"/>
      <c r="J439" s="9"/>
      <c r="K439" s="8"/>
    </row>
    <row r="440" customFormat="false" ht="28.35" hidden="false" customHeight="false" outlineLevel="0" collapsed="false">
      <c r="A440" s="8" t="s">
        <v>1513</v>
      </c>
      <c r="B440" s="8" t="s">
        <v>39</v>
      </c>
      <c r="C440" s="8" t="s">
        <v>1498</v>
      </c>
      <c r="D440" s="8" t="s">
        <v>94</v>
      </c>
      <c r="E440" s="8" t="s">
        <v>1514</v>
      </c>
      <c r="F440" s="8" t="s">
        <v>1515</v>
      </c>
      <c r="G440" s="8" t="s">
        <v>1516</v>
      </c>
      <c r="H440" s="8" t="s">
        <v>6</v>
      </c>
      <c r="I440" s="8"/>
      <c r="J440" s="9"/>
      <c r="K440" s="8"/>
    </row>
    <row r="441" customFormat="false" ht="28.35" hidden="false" customHeight="false" outlineLevel="0" collapsed="false">
      <c r="A441" s="8" t="s">
        <v>1517</v>
      </c>
      <c r="B441" s="8" t="s">
        <v>39</v>
      </c>
      <c r="C441" s="8" t="s">
        <v>1498</v>
      </c>
      <c r="D441" s="8" t="s">
        <v>94</v>
      </c>
      <c r="E441" s="8" t="s">
        <v>1518</v>
      </c>
      <c r="F441" s="8" t="s">
        <v>1519</v>
      </c>
      <c r="G441" s="8"/>
      <c r="H441" s="8" t="s">
        <v>6</v>
      </c>
      <c r="I441" s="8"/>
      <c r="J441" s="9"/>
      <c r="K441" s="8"/>
    </row>
    <row r="442" customFormat="false" ht="28.35" hidden="false" customHeight="false" outlineLevel="0" collapsed="false">
      <c r="A442" s="8" t="s">
        <v>1520</v>
      </c>
      <c r="B442" s="8" t="s">
        <v>39</v>
      </c>
      <c r="C442" s="8" t="s">
        <v>1521</v>
      </c>
      <c r="D442" s="8" t="s">
        <v>94</v>
      </c>
      <c r="E442" s="8" t="s">
        <v>1522</v>
      </c>
      <c r="F442" s="8" t="s">
        <v>1523</v>
      </c>
      <c r="G442" s="8"/>
      <c r="H442" s="8" t="s">
        <v>6</v>
      </c>
      <c r="I442" s="8"/>
      <c r="J442" s="9"/>
      <c r="K442" s="8"/>
    </row>
    <row r="443" customFormat="false" ht="28.35" hidden="false" customHeight="false" outlineLevel="0" collapsed="false">
      <c r="A443" s="8" t="s">
        <v>1524</v>
      </c>
      <c r="B443" s="8" t="s">
        <v>39</v>
      </c>
      <c r="C443" s="8" t="s">
        <v>1521</v>
      </c>
      <c r="D443" s="8" t="s">
        <v>94</v>
      </c>
      <c r="E443" s="8" t="s">
        <v>1525</v>
      </c>
      <c r="F443" s="8" t="s">
        <v>1526</v>
      </c>
      <c r="G443" s="8"/>
      <c r="H443" s="8" t="s">
        <v>6</v>
      </c>
      <c r="I443" s="8"/>
      <c r="J443" s="9"/>
      <c r="K443" s="8"/>
    </row>
    <row r="444" customFormat="false" ht="28.35" hidden="false" customHeight="false" outlineLevel="0" collapsed="false">
      <c r="A444" s="8" t="s">
        <v>1527</v>
      </c>
      <c r="B444" s="8" t="s">
        <v>39</v>
      </c>
      <c r="C444" s="8" t="s">
        <v>1521</v>
      </c>
      <c r="D444" s="8" t="s">
        <v>94</v>
      </c>
      <c r="E444" s="8" t="s">
        <v>1528</v>
      </c>
      <c r="F444" s="8" t="s">
        <v>1529</v>
      </c>
      <c r="G444" s="8"/>
      <c r="H444" s="8" t="s">
        <v>6</v>
      </c>
      <c r="I444" s="8"/>
      <c r="J444" s="9"/>
      <c r="K444" s="8"/>
    </row>
    <row r="445" customFormat="false" ht="28.35" hidden="false" customHeight="false" outlineLevel="0" collapsed="false">
      <c r="A445" s="8" t="s">
        <v>1530</v>
      </c>
      <c r="B445" s="8" t="s">
        <v>39</v>
      </c>
      <c r="C445" s="8" t="s">
        <v>1521</v>
      </c>
      <c r="D445" s="8" t="s">
        <v>193</v>
      </c>
      <c r="E445" s="8" t="s">
        <v>1531</v>
      </c>
      <c r="F445" s="8" t="s">
        <v>246</v>
      </c>
      <c r="G445" s="8"/>
      <c r="H445" s="8" t="s">
        <v>6</v>
      </c>
      <c r="I445" s="8"/>
      <c r="J445" s="9"/>
      <c r="K445" s="8"/>
    </row>
    <row r="446" customFormat="false" ht="15" hidden="false" customHeight="false" outlineLevel="0" collapsed="false">
      <c r="A446" s="8" t="s">
        <v>1532</v>
      </c>
      <c r="B446" s="8" t="s">
        <v>40</v>
      </c>
      <c r="C446" s="8" t="s">
        <v>1533</v>
      </c>
      <c r="D446" s="8" t="s">
        <v>167</v>
      </c>
      <c r="E446" s="8" t="s">
        <v>1534</v>
      </c>
      <c r="F446" s="8" t="s">
        <v>1535</v>
      </c>
      <c r="G446" s="8" t="s">
        <v>1516</v>
      </c>
      <c r="H446" s="8" t="s">
        <v>6</v>
      </c>
      <c r="I446" s="8"/>
      <c r="J446" s="9"/>
      <c r="K446" s="8"/>
    </row>
    <row r="447" customFormat="false" ht="15" hidden="false" customHeight="false" outlineLevel="0" collapsed="false">
      <c r="A447" s="8" t="s">
        <v>1536</v>
      </c>
      <c r="B447" s="8" t="s">
        <v>40</v>
      </c>
      <c r="C447" s="8" t="s">
        <v>1533</v>
      </c>
      <c r="D447" s="8" t="s">
        <v>167</v>
      </c>
      <c r="E447" s="8" t="s">
        <v>1537</v>
      </c>
      <c r="F447" s="8" t="s">
        <v>1535</v>
      </c>
      <c r="G447" s="8" t="s">
        <v>1516</v>
      </c>
      <c r="H447" s="8" t="s">
        <v>6</v>
      </c>
      <c r="I447" s="8"/>
      <c r="J447" s="9"/>
      <c r="K447" s="8"/>
    </row>
    <row r="448" customFormat="false" ht="15" hidden="false" customHeight="false" outlineLevel="0" collapsed="false">
      <c r="A448" s="8" t="s">
        <v>1538</v>
      </c>
      <c r="B448" s="8" t="s">
        <v>40</v>
      </c>
      <c r="C448" s="8" t="s">
        <v>1533</v>
      </c>
      <c r="D448" s="8" t="s">
        <v>167</v>
      </c>
      <c r="E448" s="8" t="s">
        <v>1539</v>
      </c>
      <c r="F448" s="8" t="s">
        <v>1535</v>
      </c>
      <c r="G448" s="8" t="s">
        <v>1516</v>
      </c>
      <c r="H448" s="8" t="s">
        <v>6</v>
      </c>
      <c r="I448" s="8"/>
      <c r="J448" s="9"/>
      <c r="K448" s="8"/>
    </row>
    <row r="449" customFormat="false" ht="15" hidden="false" customHeight="false" outlineLevel="0" collapsed="false">
      <c r="A449" s="8" t="s">
        <v>1540</v>
      </c>
      <c r="B449" s="8" t="s">
        <v>40</v>
      </c>
      <c r="C449" s="8" t="s">
        <v>1533</v>
      </c>
      <c r="D449" s="8" t="s">
        <v>167</v>
      </c>
      <c r="E449" s="8" t="s">
        <v>1541</v>
      </c>
      <c r="F449" s="8" t="s">
        <v>1535</v>
      </c>
      <c r="G449" s="8" t="s">
        <v>1516</v>
      </c>
      <c r="H449" s="8" t="s">
        <v>6</v>
      </c>
      <c r="I449" s="8"/>
      <c r="J449" s="9"/>
      <c r="K449" s="8"/>
    </row>
    <row r="450" customFormat="false" ht="15" hidden="false" customHeight="false" outlineLevel="0" collapsed="false">
      <c r="A450" s="8" t="s">
        <v>1542</v>
      </c>
      <c r="B450" s="8" t="s">
        <v>40</v>
      </c>
      <c r="C450" s="8" t="s">
        <v>1533</v>
      </c>
      <c r="D450" s="8" t="s">
        <v>167</v>
      </c>
      <c r="E450" s="8" t="s">
        <v>1543</v>
      </c>
      <c r="F450" s="8" t="s">
        <v>1535</v>
      </c>
      <c r="G450" s="8" t="s">
        <v>1516</v>
      </c>
      <c r="H450" s="8" t="s">
        <v>6</v>
      </c>
      <c r="I450" s="8"/>
      <c r="J450" s="9"/>
      <c r="K450" s="8"/>
    </row>
    <row r="451" customFormat="false" ht="15" hidden="false" customHeight="false" outlineLevel="0" collapsed="false">
      <c r="A451" s="8" t="s">
        <v>1544</v>
      </c>
      <c r="B451" s="8" t="s">
        <v>40</v>
      </c>
      <c r="C451" s="8" t="s">
        <v>1533</v>
      </c>
      <c r="D451" s="8" t="s">
        <v>167</v>
      </c>
      <c r="E451" s="8" t="s">
        <v>1545</v>
      </c>
      <c r="F451" s="8" t="s">
        <v>1535</v>
      </c>
      <c r="G451" s="8" t="s">
        <v>1516</v>
      </c>
      <c r="H451" s="8" t="s">
        <v>6</v>
      </c>
      <c r="I451" s="8"/>
      <c r="J451" s="9"/>
      <c r="K451" s="8"/>
    </row>
    <row r="452" customFormat="false" ht="15" hidden="false" customHeight="false" outlineLevel="0" collapsed="false">
      <c r="A452" s="8" t="s">
        <v>1546</v>
      </c>
      <c r="B452" s="8" t="s">
        <v>40</v>
      </c>
      <c r="C452" s="8" t="s">
        <v>1533</v>
      </c>
      <c r="D452" s="8" t="s">
        <v>167</v>
      </c>
      <c r="E452" s="8" t="s">
        <v>1547</v>
      </c>
      <c r="F452" s="8" t="s">
        <v>1535</v>
      </c>
      <c r="G452" s="8" t="s">
        <v>1516</v>
      </c>
      <c r="H452" s="8" t="s">
        <v>6</v>
      </c>
      <c r="I452" s="8"/>
      <c r="J452" s="9"/>
      <c r="K452" s="8"/>
    </row>
    <row r="453" customFormat="false" ht="28.35" hidden="false" customHeight="false" outlineLevel="0" collapsed="false">
      <c r="A453" s="8" t="s">
        <v>1548</v>
      </c>
      <c r="B453" s="8" t="s">
        <v>40</v>
      </c>
      <c r="C453" s="8" t="s">
        <v>1549</v>
      </c>
      <c r="D453" s="8" t="s">
        <v>94</v>
      </c>
      <c r="E453" s="8" t="s">
        <v>1550</v>
      </c>
      <c r="F453" s="8" t="s">
        <v>1551</v>
      </c>
      <c r="G453" s="8"/>
      <c r="H453" s="8" t="s">
        <v>6</v>
      </c>
      <c r="I453" s="8"/>
      <c r="J453" s="9"/>
      <c r="K453" s="8"/>
    </row>
    <row r="454" customFormat="false" ht="28.35" hidden="false" customHeight="false" outlineLevel="0" collapsed="false">
      <c r="A454" s="8" t="s">
        <v>1552</v>
      </c>
      <c r="B454" s="8" t="s">
        <v>41</v>
      </c>
      <c r="C454" s="8" t="s">
        <v>1553</v>
      </c>
      <c r="D454" s="8" t="s">
        <v>682</v>
      </c>
      <c r="E454" s="8" t="s">
        <v>1554</v>
      </c>
      <c r="F454" s="8" t="s">
        <v>1555</v>
      </c>
      <c r="G454" s="8" t="s">
        <v>1556</v>
      </c>
      <c r="H454" s="8" t="s">
        <v>6</v>
      </c>
      <c r="I454" s="8"/>
      <c r="J454" s="9"/>
      <c r="K454" s="8"/>
    </row>
    <row r="455" customFormat="false" ht="15" hidden="false" customHeight="false" outlineLevel="0" collapsed="false">
      <c r="A455" s="8" t="s">
        <v>1557</v>
      </c>
      <c r="B455" s="8" t="s">
        <v>41</v>
      </c>
      <c r="C455" s="8" t="s">
        <v>1553</v>
      </c>
      <c r="D455" s="8" t="s">
        <v>682</v>
      </c>
      <c r="E455" s="8" t="s">
        <v>1558</v>
      </c>
      <c r="F455" s="8" t="s">
        <v>1559</v>
      </c>
      <c r="G455" s="8" t="s">
        <v>1560</v>
      </c>
      <c r="H455" s="8" t="s">
        <v>6</v>
      </c>
      <c r="I455" s="8"/>
      <c r="J455" s="9"/>
      <c r="K455" s="8"/>
    </row>
    <row r="456" customFormat="false" ht="15" hidden="false" customHeight="false" outlineLevel="0" collapsed="false">
      <c r="A456" s="8" t="s">
        <v>1561</v>
      </c>
      <c r="B456" s="8" t="s">
        <v>41</v>
      </c>
      <c r="C456" s="8" t="s">
        <v>1553</v>
      </c>
      <c r="D456" s="8" t="s">
        <v>682</v>
      </c>
      <c r="E456" s="8" t="s">
        <v>1562</v>
      </c>
      <c r="F456" s="8" t="s">
        <v>1563</v>
      </c>
      <c r="G456" s="8" t="s">
        <v>1564</v>
      </c>
      <c r="H456" s="8" t="s">
        <v>6</v>
      </c>
      <c r="I456" s="8"/>
      <c r="J456" s="9"/>
      <c r="K456" s="8"/>
    </row>
    <row r="457" customFormat="false" ht="15" hidden="false" customHeight="false" outlineLevel="0" collapsed="false">
      <c r="A457" s="8" t="s">
        <v>1565</v>
      </c>
      <c r="B457" s="8" t="s">
        <v>41</v>
      </c>
      <c r="C457" s="8" t="s">
        <v>1553</v>
      </c>
      <c r="D457" s="8" t="s">
        <v>682</v>
      </c>
      <c r="E457" s="8" t="s">
        <v>1566</v>
      </c>
      <c r="F457" s="8" t="s">
        <v>1567</v>
      </c>
      <c r="G457" s="8" t="s">
        <v>1568</v>
      </c>
      <c r="H457" s="8" t="s">
        <v>6</v>
      </c>
      <c r="I457" s="8"/>
      <c r="J457" s="9"/>
      <c r="K457" s="8"/>
    </row>
    <row r="458" customFormat="false" ht="15" hidden="false" customHeight="false" outlineLevel="0" collapsed="false">
      <c r="A458" s="8" t="s">
        <v>1569</v>
      </c>
      <c r="B458" s="8" t="s">
        <v>41</v>
      </c>
      <c r="C458" s="8" t="s">
        <v>1553</v>
      </c>
      <c r="D458" s="8" t="s">
        <v>682</v>
      </c>
      <c r="E458" s="8" t="s">
        <v>1570</v>
      </c>
      <c r="F458" s="8" t="s">
        <v>1571</v>
      </c>
      <c r="G458" s="8" t="s">
        <v>394</v>
      </c>
      <c r="H458" s="8" t="s">
        <v>6</v>
      </c>
      <c r="I458" s="8"/>
      <c r="J458" s="9"/>
      <c r="K458" s="8"/>
    </row>
    <row r="459" customFormat="false" ht="28.35" hidden="false" customHeight="false" outlineLevel="0" collapsed="false">
      <c r="A459" s="8" t="s">
        <v>1572</v>
      </c>
      <c r="B459" s="8" t="s">
        <v>41</v>
      </c>
      <c r="C459" s="8" t="s">
        <v>1553</v>
      </c>
      <c r="D459" s="8" t="s">
        <v>682</v>
      </c>
      <c r="E459" s="8" t="s">
        <v>1573</v>
      </c>
      <c r="F459" s="8" t="s">
        <v>1574</v>
      </c>
      <c r="G459" s="8" t="s">
        <v>1575</v>
      </c>
      <c r="H459" s="8" t="s">
        <v>6</v>
      </c>
      <c r="I459" s="8"/>
      <c r="J459" s="9"/>
      <c r="K459" s="8"/>
    </row>
    <row r="460" customFormat="false" ht="15" hidden="false" customHeight="false" outlineLevel="0" collapsed="false">
      <c r="A460" s="8" t="s">
        <v>1576</v>
      </c>
      <c r="B460" s="8" t="s">
        <v>41</v>
      </c>
      <c r="C460" s="8" t="s">
        <v>1577</v>
      </c>
      <c r="D460" s="8" t="s">
        <v>78</v>
      </c>
      <c r="E460" s="8" t="s">
        <v>1578</v>
      </c>
      <c r="F460" s="8" t="s">
        <v>1579</v>
      </c>
      <c r="G460" s="8" t="s">
        <v>1580</v>
      </c>
      <c r="H460" s="8" t="s">
        <v>6</v>
      </c>
      <c r="I460" s="8"/>
      <c r="J460" s="9"/>
      <c r="K460" s="8"/>
    </row>
    <row r="461" customFormat="false" ht="15" hidden="false" customHeight="false" outlineLevel="0" collapsed="false">
      <c r="A461" s="8" t="s">
        <v>1581</v>
      </c>
      <c r="B461" s="8" t="s">
        <v>41</v>
      </c>
      <c r="C461" s="8" t="s">
        <v>1582</v>
      </c>
      <c r="D461" s="8" t="s">
        <v>682</v>
      </c>
      <c r="E461" s="8" t="s">
        <v>1583</v>
      </c>
      <c r="F461" s="8" t="s">
        <v>1584</v>
      </c>
      <c r="G461" s="8"/>
      <c r="H461" s="8" t="s">
        <v>6</v>
      </c>
      <c r="I461" s="8"/>
      <c r="J461" s="9"/>
      <c r="K461" s="8"/>
    </row>
    <row r="462" customFormat="false" ht="15" hidden="false" customHeight="false" outlineLevel="0" collapsed="false">
      <c r="A462" s="8" t="s">
        <v>1585</v>
      </c>
      <c r="B462" s="8" t="s">
        <v>41</v>
      </c>
      <c r="C462" s="8" t="s">
        <v>1586</v>
      </c>
      <c r="D462" s="8" t="s">
        <v>167</v>
      </c>
      <c r="E462" s="8" t="s">
        <v>1587</v>
      </c>
      <c r="F462" s="8" t="s">
        <v>1218</v>
      </c>
      <c r="G462" s="8"/>
      <c r="H462" s="8" t="s">
        <v>6</v>
      </c>
      <c r="I462" s="8"/>
      <c r="J462" s="9"/>
      <c r="K462" s="8"/>
    </row>
    <row r="463" customFormat="false" ht="41.75" hidden="false" customHeight="false" outlineLevel="0" collapsed="false">
      <c r="A463" s="8" t="s">
        <v>1588</v>
      </c>
      <c r="B463" s="8" t="s">
        <v>42</v>
      </c>
      <c r="C463" s="8" t="s">
        <v>1589</v>
      </c>
      <c r="D463" s="8" t="s">
        <v>167</v>
      </c>
      <c r="E463" s="8" t="s">
        <v>1590</v>
      </c>
      <c r="F463" s="8" t="s">
        <v>1591</v>
      </c>
      <c r="G463" s="8"/>
      <c r="H463" s="8" t="s">
        <v>6</v>
      </c>
      <c r="I463" s="8"/>
      <c r="J463" s="9"/>
      <c r="K463" s="8"/>
    </row>
    <row r="464" customFormat="false" ht="28.35" hidden="false" customHeight="false" outlineLevel="0" collapsed="false">
      <c r="A464" s="8" t="s">
        <v>1592</v>
      </c>
      <c r="B464" s="8" t="s">
        <v>42</v>
      </c>
      <c r="C464" s="8" t="s">
        <v>1589</v>
      </c>
      <c r="D464" s="8" t="s">
        <v>167</v>
      </c>
      <c r="E464" s="8" t="s">
        <v>1593</v>
      </c>
      <c r="F464" s="8" t="s">
        <v>1594</v>
      </c>
      <c r="G464" s="8"/>
      <c r="H464" s="8" t="s">
        <v>6</v>
      </c>
      <c r="I464" s="8"/>
      <c r="J464" s="9"/>
      <c r="K464" s="8"/>
    </row>
    <row r="465" customFormat="false" ht="15" hidden="false" customHeight="false" outlineLevel="0" collapsed="false">
      <c r="A465" s="8" t="s">
        <v>1595</v>
      </c>
      <c r="B465" s="8" t="s">
        <v>42</v>
      </c>
      <c r="C465" s="8" t="s">
        <v>1589</v>
      </c>
      <c r="D465" s="8" t="s">
        <v>167</v>
      </c>
      <c r="E465" s="8" t="s">
        <v>1596</v>
      </c>
      <c r="F465" s="8" t="s">
        <v>1597</v>
      </c>
      <c r="G465" s="8"/>
      <c r="H465" s="8" t="s">
        <v>6</v>
      </c>
      <c r="I465" s="8"/>
      <c r="J465" s="9"/>
      <c r="K465" s="8"/>
    </row>
    <row r="466" customFormat="false" ht="15" hidden="false" customHeight="false" outlineLevel="0" collapsed="false">
      <c r="A466" s="8" t="s">
        <v>1598</v>
      </c>
      <c r="B466" s="8" t="s">
        <v>42</v>
      </c>
      <c r="C466" s="8" t="s">
        <v>1589</v>
      </c>
      <c r="D466" s="8" t="s">
        <v>167</v>
      </c>
      <c r="E466" s="8" t="s">
        <v>1599</v>
      </c>
      <c r="F466" s="8" t="s">
        <v>1600</v>
      </c>
      <c r="G466" s="8"/>
      <c r="H466" s="8" t="s">
        <v>6</v>
      </c>
      <c r="I466" s="8"/>
      <c r="J466" s="9"/>
      <c r="K466" s="8"/>
    </row>
    <row r="467" customFormat="false" ht="15" hidden="false" customHeight="false" outlineLevel="0" collapsed="false">
      <c r="A467" s="8" t="s">
        <v>1601</v>
      </c>
      <c r="B467" s="8" t="s">
        <v>42</v>
      </c>
      <c r="C467" s="8" t="s">
        <v>1589</v>
      </c>
      <c r="D467" s="8" t="s">
        <v>167</v>
      </c>
      <c r="E467" s="8" t="s">
        <v>1602</v>
      </c>
      <c r="F467" s="8" t="s">
        <v>1603</v>
      </c>
      <c r="G467" s="8"/>
      <c r="H467" s="8" t="s">
        <v>6</v>
      </c>
      <c r="I467" s="8"/>
      <c r="J467" s="9"/>
      <c r="K467" s="8"/>
    </row>
    <row r="468" customFormat="false" ht="28.35" hidden="false" customHeight="false" outlineLevel="0" collapsed="false">
      <c r="A468" s="8" t="s">
        <v>1604</v>
      </c>
      <c r="B468" s="8" t="s">
        <v>42</v>
      </c>
      <c r="C468" s="8" t="s">
        <v>1589</v>
      </c>
      <c r="D468" s="8" t="s">
        <v>94</v>
      </c>
      <c r="E468" s="8" t="s">
        <v>1605</v>
      </c>
      <c r="F468" s="8" t="s">
        <v>1606</v>
      </c>
      <c r="G468" s="8"/>
      <c r="H468" s="8" t="s">
        <v>6</v>
      </c>
      <c r="I468" s="8"/>
      <c r="J468" s="9"/>
      <c r="K468" s="8"/>
    </row>
    <row r="469" customFormat="false" ht="28.35" hidden="false" customHeight="false" outlineLevel="0" collapsed="false">
      <c r="A469" s="8" t="s">
        <v>1607</v>
      </c>
      <c r="B469" s="8" t="s">
        <v>42</v>
      </c>
      <c r="C469" s="8" t="s">
        <v>1589</v>
      </c>
      <c r="D469" s="8" t="s">
        <v>94</v>
      </c>
      <c r="E469" s="8" t="s">
        <v>1608</v>
      </c>
      <c r="F469" s="8" t="s">
        <v>1594</v>
      </c>
      <c r="G469" s="8"/>
      <c r="H469" s="8" t="s">
        <v>6</v>
      </c>
      <c r="I469" s="8"/>
      <c r="J469" s="9"/>
      <c r="K469" s="8"/>
    </row>
    <row r="470" customFormat="false" ht="28.35" hidden="false" customHeight="false" outlineLevel="0" collapsed="false">
      <c r="A470" s="8" t="s">
        <v>1609</v>
      </c>
      <c r="B470" s="8" t="s">
        <v>42</v>
      </c>
      <c r="C470" s="8" t="s">
        <v>1589</v>
      </c>
      <c r="D470" s="8" t="s">
        <v>188</v>
      </c>
      <c r="E470" s="8" t="s">
        <v>1610</v>
      </c>
      <c r="F470" s="8" t="s">
        <v>1611</v>
      </c>
      <c r="G470" s="8"/>
      <c r="H470" s="8" t="s">
        <v>6</v>
      </c>
      <c r="I470" s="8"/>
      <c r="J470" s="9"/>
      <c r="K470" s="8"/>
    </row>
  </sheetData>
  <autoFilter ref="A1:K470"/>
  <conditionalFormatting sqref="H2:H470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  <cfRule type="cellIs" priority="5" operator="equal" aboveAverage="0" equalAverage="0" bottom="0" percent="0" rank="0" text="" dxfId="6">
      <formula>"N/A"</formula>
    </cfRule>
  </conditionalFormatting>
  <dataValidations count="1">
    <dataValidation allowBlank="true" errorStyle="stop" operator="between" showDropDown="false" showErrorMessage="false" showInputMessage="false" sqref="H2:H47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  <col collapsed="false" customWidth="true" hidden="false" outlineLevel="0" max="11" min="7" style="0" width="12"/>
    <col collapsed="false" customWidth="true" hidden="false" outlineLevel="0" max="12" min="12" style="0" width="30"/>
  </cols>
  <sheetData>
    <row r="1" customFormat="false" ht="41.75" hidden="false" customHeight="false" outlineLevel="0" collapsed="false">
      <c r="A1" s="1" t="s">
        <v>1612</v>
      </c>
      <c r="B1" s="1" t="s">
        <v>1613</v>
      </c>
      <c r="C1" s="1" t="s">
        <v>1614</v>
      </c>
      <c r="D1" s="1" t="s">
        <v>1615</v>
      </c>
      <c r="E1" s="1" t="s">
        <v>1616</v>
      </c>
      <c r="F1" s="1" t="s">
        <v>1617</v>
      </c>
      <c r="G1" s="1" t="s">
        <v>1618</v>
      </c>
      <c r="H1" s="1" t="s">
        <v>1619</v>
      </c>
      <c r="I1" s="1" t="s">
        <v>1620</v>
      </c>
      <c r="J1" s="1" t="s">
        <v>1621</v>
      </c>
      <c r="K1" s="1" t="s">
        <v>1622</v>
      </c>
      <c r="L1" s="1" t="s">
        <v>1623</v>
      </c>
    </row>
    <row r="2" customFormat="false" ht="28.35" hidden="false" customHeight="false" outlineLevel="0" collapsed="false">
      <c r="A2" s="8" t="s">
        <v>686</v>
      </c>
      <c r="B2" s="8" t="s">
        <v>1624</v>
      </c>
      <c r="C2" s="8" t="s">
        <v>1625</v>
      </c>
      <c r="D2" s="8" t="s">
        <v>1626</v>
      </c>
      <c r="E2" s="8" t="s">
        <v>1627</v>
      </c>
      <c r="F2" s="8" t="s">
        <v>1627</v>
      </c>
      <c r="G2" s="8" t="s">
        <v>6</v>
      </c>
      <c r="H2" s="8" t="s">
        <v>6</v>
      </c>
      <c r="I2" s="8" t="s">
        <v>6</v>
      </c>
      <c r="J2" s="8" t="s">
        <v>6</v>
      </c>
      <c r="K2" s="8" t="s">
        <v>6</v>
      </c>
      <c r="L2" s="8"/>
    </row>
    <row r="3" customFormat="false" ht="28.35" hidden="false" customHeight="false" outlineLevel="0" collapsed="false">
      <c r="A3" s="8" t="s">
        <v>734</v>
      </c>
      <c r="B3" s="8" t="s">
        <v>1624</v>
      </c>
      <c r="C3" s="8" t="s">
        <v>1625</v>
      </c>
      <c r="D3" s="8" t="s">
        <v>1627</v>
      </c>
      <c r="E3" s="8" t="s">
        <v>1627</v>
      </c>
      <c r="F3" s="8" t="s">
        <v>1627</v>
      </c>
      <c r="G3" s="8" t="s">
        <v>6</v>
      </c>
      <c r="H3" s="8" t="s">
        <v>6</v>
      </c>
      <c r="I3" s="8" t="s">
        <v>6</v>
      </c>
      <c r="J3" s="8" t="s">
        <v>6</v>
      </c>
      <c r="K3" s="8" t="s">
        <v>6</v>
      </c>
      <c r="L3" s="8"/>
    </row>
    <row r="4" customFormat="false" ht="28.35" hidden="false" customHeight="false" outlineLevel="0" collapsed="false">
      <c r="A4" s="8" t="s">
        <v>954</v>
      </c>
      <c r="B4" s="8" t="s">
        <v>1624</v>
      </c>
      <c r="C4" s="8" t="s">
        <v>1625</v>
      </c>
      <c r="D4" s="8" t="s">
        <v>1628</v>
      </c>
      <c r="E4" s="8" t="s">
        <v>1627</v>
      </c>
      <c r="F4" s="8" t="s">
        <v>1627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/>
    </row>
    <row r="5" customFormat="false" ht="28.35" hidden="false" customHeight="false" outlineLevel="0" collapsed="false">
      <c r="A5" s="8" t="s">
        <v>1629</v>
      </c>
      <c r="B5" s="8" t="s">
        <v>1624</v>
      </c>
      <c r="C5" s="8" t="s">
        <v>1625</v>
      </c>
      <c r="D5" s="8" t="s">
        <v>1626</v>
      </c>
      <c r="E5" s="8" t="s">
        <v>1627</v>
      </c>
      <c r="F5" s="8" t="s">
        <v>1627</v>
      </c>
      <c r="G5" s="8" t="s">
        <v>6</v>
      </c>
      <c r="H5" s="8" t="s">
        <v>6</v>
      </c>
      <c r="I5" s="8" t="s">
        <v>6</v>
      </c>
      <c r="J5" s="8" t="s">
        <v>6</v>
      </c>
      <c r="K5" s="8" t="s">
        <v>6</v>
      </c>
      <c r="L5" s="8"/>
    </row>
    <row r="6" customFormat="false" ht="28.35" hidden="false" customHeight="false" outlineLevel="0" collapsed="false">
      <c r="A6" s="8" t="s">
        <v>1630</v>
      </c>
      <c r="B6" s="8" t="s">
        <v>1624</v>
      </c>
      <c r="C6" s="8" t="s">
        <v>1625</v>
      </c>
      <c r="D6" s="8" t="s">
        <v>1626</v>
      </c>
      <c r="E6" s="8" t="s">
        <v>1627</v>
      </c>
      <c r="F6" s="8" t="s">
        <v>1627</v>
      </c>
      <c r="G6" s="8" t="s">
        <v>6</v>
      </c>
      <c r="H6" s="8" t="s">
        <v>6</v>
      </c>
      <c r="I6" s="8" t="s">
        <v>6</v>
      </c>
      <c r="J6" s="8" t="s">
        <v>6</v>
      </c>
      <c r="K6" s="8" t="s">
        <v>6</v>
      </c>
      <c r="L6" s="8"/>
    </row>
    <row r="7" customFormat="false" ht="28.35" hidden="false" customHeight="false" outlineLevel="0" collapsed="false">
      <c r="A7" s="8" t="s">
        <v>1233</v>
      </c>
      <c r="B7" s="8" t="s">
        <v>1624</v>
      </c>
      <c r="C7" s="8" t="s">
        <v>1625</v>
      </c>
      <c r="D7" s="8" t="s">
        <v>1626</v>
      </c>
      <c r="E7" s="8" t="s">
        <v>1627</v>
      </c>
      <c r="F7" s="8" t="s">
        <v>1627</v>
      </c>
      <c r="G7" s="8" t="s">
        <v>6</v>
      </c>
      <c r="H7" s="8" t="s">
        <v>6</v>
      </c>
      <c r="I7" s="8" t="s">
        <v>6</v>
      </c>
      <c r="J7" s="8" t="s">
        <v>6</v>
      </c>
      <c r="K7" s="8" t="s">
        <v>6</v>
      </c>
      <c r="L7" s="8"/>
    </row>
    <row r="8" customFormat="false" ht="28.35" hidden="false" customHeight="false" outlineLevel="0" collapsed="false">
      <c r="A8" s="8" t="s">
        <v>1309</v>
      </c>
      <c r="B8" s="8" t="s">
        <v>1624</v>
      </c>
      <c r="C8" s="8" t="s">
        <v>1625</v>
      </c>
      <c r="D8" s="8" t="s">
        <v>1626</v>
      </c>
      <c r="E8" s="8" t="s">
        <v>1627</v>
      </c>
      <c r="F8" s="8" t="s">
        <v>1627</v>
      </c>
      <c r="G8" s="8" t="s">
        <v>6</v>
      </c>
      <c r="H8" s="8" t="s">
        <v>6</v>
      </c>
      <c r="I8" s="8" t="s">
        <v>6</v>
      </c>
      <c r="J8" s="8" t="s">
        <v>6</v>
      </c>
      <c r="K8" s="8" t="s">
        <v>6</v>
      </c>
      <c r="L8" s="8"/>
    </row>
    <row r="9" customFormat="false" ht="28.35" hidden="false" customHeight="false" outlineLevel="0" collapsed="false">
      <c r="A9" s="8" t="s">
        <v>1249</v>
      </c>
      <c r="B9" s="8" t="s">
        <v>1624</v>
      </c>
      <c r="C9" s="8" t="s">
        <v>1625</v>
      </c>
      <c r="D9" s="8" t="s">
        <v>1626</v>
      </c>
      <c r="E9" s="8" t="s">
        <v>1627</v>
      </c>
      <c r="F9" s="8" t="s">
        <v>1627</v>
      </c>
      <c r="G9" s="8" t="s">
        <v>6</v>
      </c>
      <c r="H9" s="8" t="s">
        <v>6</v>
      </c>
      <c r="I9" s="8" t="s">
        <v>6</v>
      </c>
      <c r="J9" s="8" t="s">
        <v>6</v>
      </c>
      <c r="K9" s="8" t="s">
        <v>6</v>
      </c>
      <c r="L9" s="8"/>
    </row>
    <row r="10" customFormat="false" ht="28.35" hidden="false" customHeight="false" outlineLevel="0" collapsed="false">
      <c r="A10" s="8" t="s">
        <v>1356</v>
      </c>
      <c r="B10" s="8" t="s">
        <v>1624</v>
      </c>
      <c r="C10" s="8" t="s">
        <v>1625</v>
      </c>
      <c r="D10" s="8" t="s">
        <v>1626</v>
      </c>
      <c r="E10" s="8" t="s">
        <v>1627</v>
      </c>
      <c r="F10" s="8" t="s">
        <v>1627</v>
      </c>
      <c r="G10" s="8" t="s">
        <v>6</v>
      </c>
      <c r="H10" s="8" t="s">
        <v>6</v>
      </c>
      <c r="I10" s="8" t="s">
        <v>6</v>
      </c>
      <c r="J10" s="8" t="s">
        <v>6</v>
      </c>
      <c r="K10" s="8" t="s">
        <v>6</v>
      </c>
      <c r="L10" s="8"/>
    </row>
    <row r="11" customFormat="false" ht="28.35" hidden="false" customHeight="false" outlineLevel="0" collapsed="false">
      <c r="A11" s="8" t="s">
        <v>1631</v>
      </c>
      <c r="B11" s="8" t="s">
        <v>1624</v>
      </c>
      <c r="C11" s="8" t="s">
        <v>1625</v>
      </c>
      <c r="D11" s="8" t="s">
        <v>1626</v>
      </c>
      <c r="E11" s="8" t="s">
        <v>1627</v>
      </c>
      <c r="F11" s="8" t="s">
        <v>1627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/>
    </row>
    <row r="12" customFormat="false" ht="28.35" hidden="false" customHeight="false" outlineLevel="0" collapsed="false">
      <c r="A12" s="8" t="s">
        <v>1408</v>
      </c>
      <c r="B12" s="8" t="s">
        <v>1624</v>
      </c>
      <c r="C12" s="8" t="s">
        <v>1625</v>
      </c>
      <c r="D12" s="8" t="s">
        <v>1626</v>
      </c>
      <c r="E12" s="8" t="s">
        <v>1627</v>
      </c>
      <c r="F12" s="8" t="s">
        <v>1627</v>
      </c>
      <c r="G12" s="8" t="s">
        <v>6</v>
      </c>
      <c r="H12" s="8" t="s">
        <v>6</v>
      </c>
      <c r="I12" s="8" t="s">
        <v>6</v>
      </c>
      <c r="J12" s="8" t="s">
        <v>6</v>
      </c>
      <c r="K12" s="8" t="s">
        <v>6</v>
      </c>
      <c r="L12" s="8"/>
    </row>
    <row r="13" customFormat="false" ht="28.35" hidden="false" customHeight="false" outlineLevel="0" collapsed="false">
      <c r="A13" s="8" t="s">
        <v>1436</v>
      </c>
      <c r="B13" s="8" t="s">
        <v>1624</v>
      </c>
      <c r="C13" s="8" t="s">
        <v>1625</v>
      </c>
      <c r="D13" s="8" t="s">
        <v>1626</v>
      </c>
      <c r="E13" s="8" t="s">
        <v>1627</v>
      </c>
      <c r="F13" s="8" t="s">
        <v>1627</v>
      </c>
      <c r="G13" s="8" t="s">
        <v>6</v>
      </c>
      <c r="H13" s="8" t="s">
        <v>6</v>
      </c>
      <c r="I13" s="8" t="s">
        <v>6</v>
      </c>
      <c r="J13" s="8" t="s">
        <v>6</v>
      </c>
      <c r="K13" s="8" t="s">
        <v>6</v>
      </c>
      <c r="L13" s="8"/>
    </row>
    <row r="14" customFormat="false" ht="28.35" hidden="false" customHeight="false" outlineLevel="0" collapsed="false">
      <c r="A14" s="8" t="s">
        <v>1498</v>
      </c>
      <c r="B14" s="8" t="s">
        <v>1624</v>
      </c>
      <c r="C14" s="8" t="s">
        <v>1625</v>
      </c>
      <c r="D14" s="8" t="s">
        <v>1627</v>
      </c>
      <c r="E14" s="8" t="s">
        <v>1627</v>
      </c>
      <c r="F14" s="8" t="s">
        <v>1627</v>
      </c>
      <c r="G14" s="8" t="s">
        <v>6</v>
      </c>
      <c r="H14" s="8" t="s">
        <v>6</v>
      </c>
      <c r="I14" s="8" t="s">
        <v>6</v>
      </c>
      <c r="J14" s="8" t="s">
        <v>6</v>
      </c>
      <c r="K14" s="8" t="s">
        <v>6</v>
      </c>
      <c r="L14" s="8"/>
    </row>
    <row r="15" customFormat="false" ht="28.35" hidden="false" customHeight="false" outlineLevel="0" collapsed="false">
      <c r="A15" s="8" t="s">
        <v>1326</v>
      </c>
      <c r="B15" s="8" t="s">
        <v>1624</v>
      </c>
      <c r="C15" s="8" t="s">
        <v>1625</v>
      </c>
      <c r="D15" s="8" t="s">
        <v>1626</v>
      </c>
      <c r="E15" s="8" t="s">
        <v>1632</v>
      </c>
      <c r="F15" s="8" t="s">
        <v>1627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6</v>
      </c>
      <c r="L15" s="8"/>
    </row>
    <row r="16" customFormat="false" ht="28.35" hidden="false" customHeight="false" outlineLevel="0" collapsed="false">
      <c r="A16" s="8" t="s">
        <v>1521</v>
      </c>
      <c r="B16" s="8" t="s">
        <v>1624</v>
      </c>
      <c r="C16" s="8" t="s">
        <v>1625</v>
      </c>
      <c r="D16" s="8" t="s">
        <v>1626</v>
      </c>
      <c r="E16" s="8" t="s">
        <v>1632</v>
      </c>
      <c r="F16" s="8" t="s">
        <v>1627</v>
      </c>
      <c r="G16" s="8" t="s">
        <v>6</v>
      </c>
      <c r="H16" s="8" t="s">
        <v>6</v>
      </c>
      <c r="I16" s="8" t="s">
        <v>6</v>
      </c>
      <c r="J16" s="8" t="s">
        <v>6</v>
      </c>
      <c r="K16" s="8" t="s">
        <v>6</v>
      </c>
      <c r="L16" s="8"/>
    </row>
    <row r="17" customFormat="false" ht="15" hidden="false" customHeight="false" outlineLevel="0" collapsed="false">
      <c r="A17" s="8" t="s">
        <v>267</v>
      </c>
      <c r="B17" s="8" t="s">
        <v>1627</v>
      </c>
      <c r="C17" s="8" t="s">
        <v>1627</v>
      </c>
      <c r="D17" s="8" t="s">
        <v>1627</v>
      </c>
      <c r="E17" s="8" t="s">
        <v>1627</v>
      </c>
      <c r="F17" s="8" t="s">
        <v>1627</v>
      </c>
      <c r="G17" s="8" t="s">
        <v>6</v>
      </c>
      <c r="H17" s="8" t="s">
        <v>6</v>
      </c>
      <c r="I17" s="8" t="s">
        <v>6</v>
      </c>
      <c r="J17" s="8" t="s">
        <v>6</v>
      </c>
      <c r="K17" s="8" t="s">
        <v>6</v>
      </c>
      <c r="L17" s="8"/>
    </row>
    <row r="18" customFormat="false" ht="15" hidden="false" customHeight="false" outlineLevel="0" collapsed="false">
      <c r="A18" s="8" t="s">
        <v>301</v>
      </c>
      <c r="B18" s="8" t="s">
        <v>1627</v>
      </c>
      <c r="C18" s="8" t="s">
        <v>1627</v>
      </c>
      <c r="D18" s="8" t="s">
        <v>1627</v>
      </c>
      <c r="E18" s="8" t="s">
        <v>1627</v>
      </c>
      <c r="F18" s="8" t="s">
        <v>1627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8"/>
    </row>
    <row r="19" customFormat="false" ht="15" hidden="false" customHeight="false" outlineLevel="0" collapsed="false">
      <c r="A19" s="8" t="s">
        <v>376</v>
      </c>
      <c r="B19" s="8" t="s">
        <v>1627</v>
      </c>
      <c r="C19" s="8" t="s">
        <v>1627</v>
      </c>
      <c r="D19" s="8" t="s">
        <v>1627</v>
      </c>
      <c r="E19" s="8" t="s">
        <v>1627</v>
      </c>
      <c r="F19" s="8" t="s">
        <v>1627</v>
      </c>
      <c r="G19" s="8" t="s">
        <v>6</v>
      </c>
      <c r="H19" s="8" t="s">
        <v>6</v>
      </c>
      <c r="I19" s="8" t="s">
        <v>6</v>
      </c>
      <c r="J19" s="8" t="s">
        <v>6</v>
      </c>
      <c r="K19" s="8" t="s">
        <v>6</v>
      </c>
      <c r="L19" s="8"/>
    </row>
    <row r="20" customFormat="false" ht="15" hidden="false" customHeight="false" outlineLevel="0" collapsed="false">
      <c r="A20" s="8" t="s">
        <v>396</v>
      </c>
      <c r="B20" s="8" t="s">
        <v>1627</v>
      </c>
      <c r="C20" s="8" t="s">
        <v>1627</v>
      </c>
      <c r="D20" s="8" t="s">
        <v>1627</v>
      </c>
      <c r="E20" s="8" t="s">
        <v>1627</v>
      </c>
      <c r="F20" s="8" t="s">
        <v>1627</v>
      </c>
      <c r="G20" s="8" t="s">
        <v>6</v>
      </c>
      <c r="H20" s="8" t="s">
        <v>6</v>
      </c>
      <c r="I20" s="8" t="s">
        <v>6</v>
      </c>
      <c r="J20" s="8" t="s">
        <v>6</v>
      </c>
      <c r="K20" s="8" t="s">
        <v>6</v>
      </c>
      <c r="L20" s="8"/>
    </row>
    <row r="21" customFormat="false" ht="15" hidden="false" customHeight="false" outlineLevel="0" collapsed="false">
      <c r="A21" s="8" t="s">
        <v>1633</v>
      </c>
      <c r="B21" s="8" t="s">
        <v>1627</v>
      </c>
      <c r="C21" s="8" t="s">
        <v>1627</v>
      </c>
      <c r="D21" s="8" t="s">
        <v>1627</v>
      </c>
      <c r="E21" s="8" t="s">
        <v>1627</v>
      </c>
      <c r="F21" s="8" t="s">
        <v>1627</v>
      </c>
      <c r="G21" s="8" t="s">
        <v>6</v>
      </c>
      <c r="H21" s="8" t="s">
        <v>6</v>
      </c>
      <c r="I21" s="8" t="s">
        <v>6</v>
      </c>
      <c r="J21" s="8" t="s">
        <v>6</v>
      </c>
      <c r="K21" s="8" t="s">
        <v>6</v>
      </c>
      <c r="L21" s="8"/>
    </row>
    <row r="22" customFormat="false" ht="15" hidden="false" customHeight="false" outlineLevel="0" collapsed="false">
      <c r="A22" s="8" t="s">
        <v>180</v>
      </c>
      <c r="B22" s="8" t="s">
        <v>1627</v>
      </c>
      <c r="C22" s="8" t="s">
        <v>1627</v>
      </c>
      <c r="D22" s="8" t="s">
        <v>1627</v>
      </c>
      <c r="E22" s="8" t="s">
        <v>1627</v>
      </c>
      <c r="F22" s="8" t="s">
        <v>1627</v>
      </c>
      <c r="G22" s="8" t="s">
        <v>6</v>
      </c>
      <c r="H22" s="8" t="s">
        <v>6</v>
      </c>
      <c r="I22" s="8" t="s">
        <v>6</v>
      </c>
      <c r="J22" s="8" t="s">
        <v>6</v>
      </c>
      <c r="K22" s="8" t="s">
        <v>6</v>
      </c>
      <c r="L22" s="8"/>
    </row>
    <row r="23" customFormat="false" ht="15" hidden="false" customHeight="false" outlineLevel="0" collapsed="false">
      <c r="A23" s="8" t="s">
        <v>116</v>
      </c>
      <c r="B23" s="8" t="s">
        <v>1627</v>
      </c>
      <c r="C23" s="8" t="s">
        <v>1627</v>
      </c>
      <c r="D23" s="8" t="s">
        <v>1627</v>
      </c>
      <c r="E23" s="8" t="s">
        <v>1627</v>
      </c>
      <c r="F23" s="8" t="s">
        <v>1627</v>
      </c>
      <c r="G23" s="8" t="s">
        <v>6</v>
      </c>
      <c r="H23" s="8" t="s">
        <v>6</v>
      </c>
      <c r="I23" s="8" t="s">
        <v>6</v>
      </c>
      <c r="J23" s="8" t="s">
        <v>6</v>
      </c>
      <c r="K23" s="8" t="s">
        <v>6</v>
      </c>
      <c r="L23" s="8"/>
    </row>
    <row r="24" customFormat="false" ht="15" hidden="false" customHeight="false" outlineLevel="0" collapsed="false">
      <c r="A24" s="8" t="s">
        <v>252</v>
      </c>
      <c r="B24" s="8" t="s">
        <v>1627</v>
      </c>
      <c r="C24" s="8" t="s">
        <v>1627</v>
      </c>
      <c r="D24" s="8" t="s">
        <v>1627</v>
      </c>
      <c r="E24" s="8" t="s">
        <v>1627</v>
      </c>
      <c r="F24" s="8" t="s">
        <v>1627</v>
      </c>
      <c r="G24" s="8" t="s">
        <v>6</v>
      </c>
      <c r="H24" s="8" t="s">
        <v>6</v>
      </c>
      <c r="I24" s="8" t="s">
        <v>6</v>
      </c>
      <c r="J24" s="8" t="s">
        <v>6</v>
      </c>
      <c r="K24" s="8" t="s">
        <v>6</v>
      </c>
      <c r="L24" s="8"/>
    </row>
    <row r="25" customFormat="false" ht="41.75" hidden="false" customHeight="false" outlineLevel="0" collapsed="false">
      <c r="A25" s="8" t="s">
        <v>429</v>
      </c>
      <c r="B25" s="8" t="s">
        <v>1634</v>
      </c>
      <c r="C25" s="8" t="s">
        <v>1627</v>
      </c>
      <c r="D25" s="8" t="s">
        <v>1635</v>
      </c>
      <c r="E25" s="8" t="s">
        <v>1636</v>
      </c>
      <c r="F25" s="8" t="s">
        <v>1636</v>
      </c>
      <c r="G25" s="8" t="s">
        <v>6</v>
      </c>
      <c r="H25" s="8" t="s">
        <v>6</v>
      </c>
      <c r="I25" s="8" t="s">
        <v>6</v>
      </c>
      <c r="J25" s="8" t="s">
        <v>6</v>
      </c>
      <c r="K25" s="8" t="s">
        <v>6</v>
      </c>
      <c r="L25" s="8"/>
    </row>
    <row r="26" customFormat="false" ht="41.75" hidden="false" customHeight="false" outlineLevel="0" collapsed="false">
      <c r="A26" s="8" t="s">
        <v>474</v>
      </c>
      <c r="B26" s="8" t="s">
        <v>1634</v>
      </c>
      <c r="C26" s="8" t="s">
        <v>1627</v>
      </c>
      <c r="D26" s="8" t="s">
        <v>1635</v>
      </c>
      <c r="E26" s="8" t="s">
        <v>1636</v>
      </c>
      <c r="F26" s="8" t="s">
        <v>1636</v>
      </c>
      <c r="G26" s="8" t="s">
        <v>6</v>
      </c>
      <c r="H26" s="8" t="s">
        <v>6</v>
      </c>
      <c r="I26" s="8" t="s">
        <v>6</v>
      </c>
      <c r="J26" s="8" t="s">
        <v>6</v>
      </c>
      <c r="K26" s="8" t="s">
        <v>6</v>
      </c>
      <c r="L26" s="8"/>
    </row>
    <row r="27" customFormat="false" ht="41.75" hidden="false" customHeight="false" outlineLevel="0" collapsed="false">
      <c r="A27" s="8" t="s">
        <v>517</v>
      </c>
      <c r="B27" s="8" t="s">
        <v>1634</v>
      </c>
      <c r="C27" s="8" t="s">
        <v>1627</v>
      </c>
      <c r="D27" s="8" t="s">
        <v>1635</v>
      </c>
      <c r="E27" s="8" t="s">
        <v>1636</v>
      </c>
      <c r="F27" s="8" t="s">
        <v>1636</v>
      </c>
      <c r="G27" s="8" t="s">
        <v>6</v>
      </c>
      <c r="H27" s="8" t="s">
        <v>6</v>
      </c>
      <c r="I27" s="8" t="s">
        <v>6</v>
      </c>
      <c r="J27" s="8" t="s">
        <v>6</v>
      </c>
      <c r="K27" s="8" t="s">
        <v>6</v>
      </c>
      <c r="L27" s="8"/>
    </row>
    <row r="28" customFormat="false" ht="41.75" hidden="false" customHeight="false" outlineLevel="0" collapsed="false">
      <c r="A28" s="8" t="s">
        <v>532</v>
      </c>
      <c r="B28" s="8" t="s">
        <v>1634</v>
      </c>
      <c r="C28" s="8" t="s">
        <v>1627</v>
      </c>
      <c r="D28" s="8" t="s">
        <v>1635</v>
      </c>
      <c r="E28" s="8" t="s">
        <v>1636</v>
      </c>
      <c r="F28" s="8" t="s">
        <v>1636</v>
      </c>
      <c r="G28" s="8" t="s">
        <v>6</v>
      </c>
      <c r="H28" s="8" t="s">
        <v>6</v>
      </c>
      <c r="I28" s="8" t="s">
        <v>6</v>
      </c>
      <c r="J28" s="8" t="s">
        <v>6</v>
      </c>
      <c r="K28" s="8" t="s">
        <v>6</v>
      </c>
      <c r="L28" s="8"/>
    </row>
    <row r="29" customFormat="false" ht="41.75" hidden="false" customHeight="false" outlineLevel="0" collapsed="false">
      <c r="A29" s="8" t="s">
        <v>580</v>
      </c>
      <c r="B29" s="8" t="s">
        <v>1634</v>
      </c>
      <c r="C29" s="8" t="s">
        <v>1627</v>
      </c>
      <c r="D29" s="8" t="s">
        <v>1635</v>
      </c>
      <c r="E29" s="8" t="s">
        <v>1636</v>
      </c>
      <c r="F29" s="8" t="s">
        <v>1636</v>
      </c>
      <c r="G29" s="8" t="s">
        <v>6</v>
      </c>
      <c r="H29" s="8" t="s">
        <v>6</v>
      </c>
      <c r="I29" s="8" t="s">
        <v>6</v>
      </c>
      <c r="J29" s="8" t="s">
        <v>6</v>
      </c>
      <c r="K29" s="8" t="s">
        <v>6</v>
      </c>
      <c r="L29" s="8"/>
    </row>
    <row r="31" customFormat="false" ht="15" hidden="false" customHeight="false" outlineLevel="0" collapsed="false">
      <c r="A31" s="10" t="s">
        <v>1637</v>
      </c>
    </row>
  </sheetData>
  <conditionalFormatting sqref="G2:K29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  <cfRule type="cellIs" priority="5" operator="equal" aboveAverage="0" equalAverage="0" bottom="0" percent="0" rank="0" text="" dxfId="6">
      <formula>"N/A"</formula>
    </cfRule>
  </conditionalFormatting>
  <dataValidations count="1">
    <dataValidation allowBlank="true" errorStyle="stop" operator="between" showDropDown="false" showErrorMessage="false" showInputMessage="false" sqref="G2:K29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2026-10-24T15:10:46Z</dcterms:created>
  <dc:creator>openpyxl</dc:creator>
  <dc:description/>
  <dc:language>en-US</dc:language>
  <cp:lastModifiedBy/>
  <dcterms:modified xsi:type="dcterms:W3CDTF">2026-10-24T15:10:46Z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