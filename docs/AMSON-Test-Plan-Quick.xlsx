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 Me" sheetId="2" state="visible" r:id="rId4"/>
    <sheet name="Chec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<sst xmlns="http://schemas.openxmlformats.org/spreadsheetml/2006/main" count="271" uniqueCount="176">
  <si>
    <t xml:space="preserve">Checks</t>
  </si>
  <si>
    <t xml:space="preserve">Pass</t>
  </si>
  <si>
    <t xml:space="preserve">Pass with note</t>
  </si>
  <si>
    <t xml:space="preserve">Fail</t>
  </si>
  <si>
    <t xml:space="preserve">Skipped</t>
  </si>
  <si>
    <t xml:space="preserve">Not run</t>
  </si>
  <si>
    <t xml:space="preserve">Ready for go-live?</t>
  </si>
  <si>
    <t xml:space="preserve">AMSON - Go-Live Test (short)</t>
  </si>
  <si>
    <t xml:space="preserve">35 checks covering every module, about 3-4 hours for one person or about 1 hour split across 4 people (one section group each). Test on https://amson-web-app.web.app.</t>
  </si>
  <si>
    <t xml:space="preserve">How to mark</t>
  </si>
  <si>
    <t xml:space="preserve">Pass - works.   Pass with note - works but something small looks off (write it in Notes).   Fail - doesn't work (write what happened).   Skipped - couldn't test (say why).</t>
  </si>
  <si>
    <t xml:space="preserve">A 'Pass with note' is fine for go-live; only a 'Fail' needs fixing first. Send any Fail with its number (e.g. Q12) and what you saw.</t>
  </si>
  <si>
    <t xml:space="preserve">Before you start</t>
  </si>
  <si>
    <t xml:space="preserve">- One browser (or browser profile) per role: Customer, Sales Staff, Technical Staff, Branch Manager. Use real inboxes - codes are emailed.</t>
  </si>
  <si>
    <t xml:space="preserve">- Add 2-3 products with stock first (test Q21 and Q23 do this), including one Rx product.</t>
  </si>
  <si>
    <t xml:space="preserve">- Afterwards, clear the test data from Settings -&gt; Clear Test Data (before November 15).</t>
  </si>
  <si>
    <t xml:space="preserve">The full plan (490 checks) is in AMSON-Test-Plan.xlsx if you have more time.</t>
  </si>
  <si>
    <t xml:space="preserve">#</t>
  </si>
  <si>
    <t xml:space="preserve">Area</t>
  </si>
  <si>
    <t xml:space="preserve">Log in as</t>
  </si>
  <si>
    <t xml:space="preserve">Do this</t>
  </si>
  <si>
    <t xml:space="preserve">Should happen</t>
  </si>
  <si>
    <t xml:space="preserve">Req</t>
  </si>
  <si>
    <t xml:space="preserve">Result</t>
  </si>
  <si>
    <t xml:space="preserve">Tester</t>
  </si>
  <si>
    <t xml:space="preserve">Notes</t>
  </si>
  <si>
    <t xml:space="preserve">Q01</t>
  </si>
  <si>
    <t xml:space="preserve">1 Getting in</t>
  </si>
  <si>
    <t xml:space="preserve">Branch Manager</t>
  </si>
  <si>
    <t xml:space="preserve">Open https://amson-web-app.web.app on a laptop and on a phone.</t>
  </si>
  <si>
    <t xml:space="preserve">Shop home loads on both; padlock (https) shows.</t>
  </si>
  <si>
    <t xml:space="preserve">REQNF010, REQNF003</t>
  </si>
  <si>
    <t xml:space="preserve">Q02</t>
  </si>
  <si>
    <t xml:space="preserve">Guest</t>
  </si>
  <si>
    <t xml:space="preserve">Register a customer with a real email; enter the 6-digit code.</t>
  </si>
  <si>
    <t xml:space="preserve">Account created; code arrives; lands in the shop signed in.</t>
  </si>
  <si>
    <t xml:space="preserve">REQ001-002</t>
  </si>
  <si>
    <t xml:space="preserve">Q03</t>
  </si>
  <si>
    <t xml:space="preserve">Wrong password 5 times on one email, wait 2 minutes, log in.</t>
  </si>
  <si>
    <t xml:space="preserve">Locked for 2 minutes, then works.</t>
  </si>
  <si>
    <t xml:space="preserve">REQ004</t>
  </si>
  <si>
    <t xml:space="preserve">Q04</t>
  </si>
  <si>
    <t xml:space="preserve">Log in as BM, Technical Staff and Sales Staff (one browser each).</t>
  </si>
  <si>
    <t xml:space="preserve">BM/Technical land on Dashboard; Sales Staff on POS.</t>
  </si>
  <si>
    <t xml:space="preserve">REQ043, REQ121</t>
  </si>
  <si>
    <t xml:space="preserve">Q05</t>
  </si>
  <si>
    <t xml:space="preserve">Sales Staff</t>
  </si>
  <si>
    <t xml:space="preserve">As Sales Staff, type admin/dashboard.html in the address bar.</t>
  </si>
  <si>
    <t xml:space="preserve">'No access' message, then back to POS.</t>
  </si>
  <si>
    <t xml:space="preserve">REQNF011</t>
  </si>
  <si>
    <t xml:space="preserve">Q06</t>
  </si>
  <si>
    <t xml:space="preserve">2 Shop</t>
  </si>
  <si>
    <t xml:space="preserve">Browse: pick a category, set a price range, choose 'In stock only', sort by price, search a name.</t>
  </si>
  <si>
    <t xml:space="preserve">Results match each filter; 'No products found' when nothing matches.</t>
  </si>
  <si>
    <t xml:space="preserve">REQ009-012</t>
  </si>
  <si>
    <t xml:space="preserve">Q07</t>
  </si>
  <si>
    <t xml:space="preserve">Customer</t>
  </si>
  <si>
    <t xml:space="preserve">Add 2 products to the cart, change quantity, remove one.</t>
  </si>
  <si>
    <t xml:space="preserve">Totals update straight away.</t>
  </si>
  <si>
    <t xml:space="preserve">REQ014-016</t>
  </si>
  <si>
    <t xml:space="preserve">Q08</t>
  </si>
  <si>
    <t xml:space="preserve">Checkout with an address and a delivery schedule; pay with a screenshot + reference no.</t>
  </si>
  <si>
    <t xml:space="preserve">Order shows 'Pending Verification' in My Orders; bell + email confirm it.</t>
  </si>
  <si>
    <t xml:space="preserve">REQ017-030</t>
  </si>
  <si>
    <t xml:space="preserve">Q09</t>
  </si>
  <si>
    <t xml:space="preserve">Rx product: checkout and pay with a prescription photo.</t>
  </si>
  <si>
    <t xml:space="preserve">Pick-up only; 'Pending Prescription Verification'.</t>
  </si>
  <si>
    <t xml:space="preserve">REQ021-024</t>
  </si>
  <si>
    <t xml:space="preserve">Q10</t>
  </si>
  <si>
    <t xml:space="preserve">Chat: ask store hours, then 'talk to a person'.</t>
  </si>
  <si>
    <t xml:space="preserve">Answer appears; then handed to staff.</t>
  </si>
  <si>
    <t xml:space="preserve">REQ035-037</t>
  </si>
  <si>
    <t xml:space="preserve">Q11</t>
  </si>
  <si>
    <t xml:space="preserve">3 Orders (staff)</t>
  </si>
  <si>
    <t xml:space="preserve">Technical Staff</t>
  </si>
  <si>
    <t xml:space="preserve">Payment Verification: approve the normal order.</t>
  </si>
  <si>
    <t xml:space="preserve">Payment Confirmed with SI No.; customer notified; stock goes down.</t>
  </si>
  <si>
    <t xml:space="preserve">REQ094-102</t>
  </si>
  <si>
    <t xml:space="preserve">Q12</t>
  </si>
  <si>
    <t xml:space="preserve">Put another order on hold (Underpayment); as the customer, resubmit; approve it.</t>
  </si>
  <si>
    <t xml:space="preserve">Hold shows to customer; after approval no 'On Hold' badge remains.</t>
  </si>
  <si>
    <t xml:space="preserve">REQ097-098</t>
  </si>
  <si>
    <t xml:space="preserve">Q13</t>
  </si>
  <si>
    <t xml:space="preserve">Approve the Rx order; also try Reject Prescription with a reason on another.</t>
  </si>
  <si>
    <t xml:space="preserve">Ready for Pick-up; rejection reason reaches the customer.</t>
  </si>
  <si>
    <t xml:space="preserve">REQ077-079</t>
  </si>
  <si>
    <t xml:space="preserve">Q14</t>
  </si>
  <si>
    <t xml:space="preserve">Dispatch the paid order with a share.lalamove.com link; as customer mark Received.</t>
  </si>
  <si>
    <t xml:space="preserve">Customer sees the tracking link; status Received.</t>
  </si>
  <si>
    <t xml:space="preserve">REQ103-105</t>
  </si>
  <si>
    <t xml:space="preserve">Q15</t>
  </si>
  <si>
    <t xml:space="preserve">Keep Online Orders open while a customer places an order.</t>
  </si>
  <si>
    <t xml:space="preserve">New order appears without refreshing; bell count goes up.</t>
  </si>
  <si>
    <t xml:space="preserve">REQNF005</t>
  </si>
  <si>
    <t xml:space="preserve">Q16</t>
  </si>
  <si>
    <t xml:space="preserve">4 POS</t>
  </si>
  <si>
    <t xml:space="preserve">Sell 2 items for cash; print the receipt.</t>
  </si>
  <si>
    <t xml:space="preserve">SI No. on receipt; product list shows the new stock right away.</t>
  </si>
  <si>
    <t xml:space="preserve">REQ082, REQ092</t>
  </si>
  <si>
    <t xml:space="preserve">Q17</t>
  </si>
  <si>
    <t xml:space="preserve">Sell with G-Cash without a reference no.; then with one.</t>
  </si>
  <si>
    <t xml:space="preserve">Blocked, then completes.</t>
  </si>
  <si>
    <t xml:space="preserve">REQ082</t>
  </si>
  <si>
    <t xml:space="preserve">Q18</t>
  </si>
  <si>
    <t xml:space="preserve">Sell an Rx item without ticking RX Verified; then with it.</t>
  </si>
  <si>
    <t xml:space="preserve">REQ084</t>
  </si>
  <si>
    <t xml:space="preserve">Q19</t>
  </si>
  <si>
    <t xml:space="preserve">Void a sale (needs the BM's email + password).</t>
  </si>
  <si>
    <t xml:space="preserve">Voided; stock back; shown in Audit Log.</t>
  </si>
  <si>
    <t xml:space="preserve">REQ083</t>
  </si>
  <si>
    <t xml:space="preserve">Q20</t>
  </si>
  <si>
    <t xml:space="preserve">Keep Inventory open on another computer while the POS sells.</t>
  </si>
  <si>
    <t xml:space="preserve">Batch quantity changes on its own.</t>
  </si>
  <si>
    <t xml:space="preserve">Q21</t>
  </si>
  <si>
    <t xml:space="preserve">5 Products &amp; stock</t>
  </si>
  <si>
    <t xml:space="preserve">Add a product with prices; change its price with a reason.</t>
  </si>
  <si>
    <t xml:space="preserve">Saved; Audit Log shows old price, new price and reason.</t>
  </si>
  <si>
    <t xml:space="preserve">REQ068-073</t>
  </si>
  <si>
    <t xml:space="preserve">Q22</t>
  </si>
  <si>
    <t xml:space="preserve">As Technical Staff try to change a price.</t>
  </si>
  <si>
    <t xml:space="preserve">Price fields locked.</t>
  </si>
  <si>
    <t xml:space="preserve">REQ071, REQ120</t>
  </si>
  <si>
    <t xml:space="preserve">Q23</t>
  </si>
  <si>
    <t xml:space="preserve">Receive stock with batch and expiry; write off some with a reason.</t>
  </si>
  <si>
    <t xml:space="preserve">Stock up, then down; both in Audit Log.</t>
  </si>
  <si>
    <t xml:space="preserve">REQ051-063</t>
  </si>
  <si>
    <t xml:space="preserve">Q24</t>
  </si>
  <si>
    <t xml:space="preserve">Create a PO, receive it short.</t>
  </si>
  <si>
    <t xml:space="preserve">Status Discrepancy; bell alert.</t>
  </si>
  <si>
    <t xml:space="preserve">REQ053-057</t>
  </si>
  <si>
    <t xml:space="preserve">Q25</t>
  </si>
  <si>
    <t xml:space="preserve">Inventory tabs: Low Stock, Out of Stock, Near-Expiry, Expired.</t>
  </si>
  <si>
    <t xml:space="preserve">Each shows the right batches.</t>
  </si>
  <si>
    <t xml:space="preserve">REQ066-067</t>
  </si>
  <si>
    <t xml:space="preserve">Q26</t>
  </si>
  <si>
    <t xml:space="preserve">Start a stock count, enter counts, submit; finalize as BM with a reason.</t>
  </si>
  <si>
    <t xml:space="preserve">Stock adjusted only after BM finalizes.</t>
  </si>
  <si>
    <t xml:space="preserve">REQ059-061</t>
  </si>
  <si>
    <t xml:space="preserve">Q27</t>
  </si>
  <si>
    <t xml:space="preserve">6 Wholesale</t>
  </si>
  <si>
    <t xml:space="preserve">Add a wholesale buyer with LTO + permit; process an order; download the invoice.</t>
  </si>
  <si>
    <t xml:space="preserve">Invoice shows buyer, batch, expiry.</t>
  </si>
  <si>
    <t xml:space="preserve">REQ085-092</t>
  </si>
  <si>
    <t xml:space="preserve">Q28</t>
  </si>
  <si>
    <t xml:space="preserve">Exchange an item from Purchase History.</t>
  </si>
  <si>
    <t xml:space="preserve">EX document; stock moves; Audit Log entry.</t>
  </si>
  <si>
    <t xml:space="preserve">REQ090</t>
  </si>
  <si>
    <t xml:space="preserve">Q29</t>
  </si>
  <si>
    <t xml:space="preserve">7 Reports &amp; admin</t>
  </si>
  <si>
    <t xml:space="preserve">Reports: Daily Sales for today; download PDF and Excel.</t>
  </si>
  <si>
    <t xml:space="preserve">Totals match today's sales; dates MM/DD/YYYY.</t>
  </si>
  <si>
    <t xml:space="preserve">REQ111-115</t>
  </si>
  <si>
    <t xml:space="preserve">Q30</t>
  </si>
  <si>
    <t xml:space="preserve">Dashboard: switch Day / Week / Month; export.</t>
  </si>
  <si>
    <t xml:space="preserve">Figures change with the period; file downloads.</t>
  </si>
  <si>
    <t xml:space="preserve">REQ047</t>
  </si>
  <si>
    <t xml:space="preserve">Q31</t>
  </si>
  <si>
    <t xml:space="preserve">Add a Sales Staff account; deactivate it.</t>
  </si>
  <si>
    <t xml:space="preserve">New account works; deactivated one can't log in.</t>
  </si>
  <si>
    <t xml:space="preserve">REQ117-119</t>
  </si>
  <si>
    <t xml:space="preserve">Q32</t>
  </si>
  <si>
    <t xml:space="preserve">Audit Log: search, date range, export.</t>
  </si>
  <si>
    <t xml:space="preserve">Record / Before / After / Reason columns filled for price, void, write-off.</t>
  </si>
  <si>
    <t xml:space="preserve">REQ122-124</t>
  </si>
  <si>
    <t xml:space="preserve">Q33</t>
  </si>
  <si>
    <t xml:space="preserve">Settings: turn on an Announcement banner.</t>
  </si>
  <si>
    <t xml:space="preserve">Shows on every shop page.</t>
  </si>
  <si>
    <t xml:space="preserve">REQ008</t>
  </si>
  <si>
    <t xml:space="preserve">Q34</t>
  </si>
  <si>
    <t xml:space="preserve">8 Phone</t>
  </si>
  <si>
    <t xml:space="preserve">On a phone: browse, cart, checkout, My Orders.</t>
  </si>
  <si>
    <t xml:space="preserve">Nothing runs off the screen; buttons tappable.</t>
  </si>
  <si>
    <t xml:space="preserve">REQNF003</t>
  </si>
  <si>
    <t xml:space="preserve">Q35</t>
  </si>
  <si>
    <t xml:space="preserve">On a phone: Dashboard, POS, Online Orders.</t>
  </si>
  <si>
    <t xml:space="preserve">Usable; sidebar opens from the menu button.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</si>
</sst>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" t="s">
        <v>0</v>
      </c>
      <c r="B1" s="2" t="n">
        <f aca="false">COUNTA(Checks!A2:A36)</f>
        <v>35</v>
      </c>
    </row>
    <row r="2" customFormat="false" ht="15" hidden="false" customHeight="false" outlineLevel="0" collapsed="false">
      <c r="A2" s="1" t="s">
        <v>1</v>
      </c>
      <c r="B2" s="2" t="n">
        <f aca="false">COUNTIF(Checks!G2:G36,"Pass")</f>
        <v>0</v>
      </c>
    </row>
    <row r="3" customFormat="false" ht="15" hidden="false" customHeight="false" outlineLevel="0" collapsed="false">
      <c r="A3" s="1" t="s">
        <v>2</v>
      </c>
      <c r="B3" s="2" t="n">
        <f aca="false">COUNTIF(Checks!G2:G36,"Pass with note")</f>
        <v>0</v>
      </c>
    </row>
    <row r="4" customFormat="false" ht="15" hidden="false" customHeight="false" outlineLevel="0" collapsed="false">
      <c r="A4" s="1" t="s">
        <v>3</v>
      </c>
      <c r="B4" s="2" t="n">
        <f aca="false">COUNTIF(Checks!G2:G36,"Fail")</f>
        <v>0</v>
      </c>
    </row>
    <row r="5" customFormat="false" ht="15" hidden="false" customHeight="false" outlineLevel="0" collapsed="false">
      <c r="A5" s="1" t="s">
        <v>4</v>
      </c>
      <c r="B5" s="2" t="n">
        <f aca="false">COUNTIF(Checks!G2:G36,"Skipped")</f>
        <v>0</v>
      </c>
    </row>
    <row r="6" customFormat="false" ht="15" hidden="false" customHeight="false" outlineLevel="0" collapsed="false">
      <c r="A6" s="1" t="s">
        <v>5</v>
      </c>
      <c r="B6" s="2" t="n">
        <f aca="false">COUNTIF(Checks!G2:G36,"Not run")</f>
        <v>35</v>
      </c>
    </row>
    <row r="7" customFormat="false" ht="15" hidden="false" customHeight="false" outlineLevel="0" collapsed="false">
      <c r="A7" s="1" t="s">
        <v>6</v>
      </c>
      <c r="B7" s="2" t="str">
        <f aca="false">IF(B4=0,IF(B6=0,"Yes - all checks done, no failures","Not yet - checks still to run"),"No - fix the Fail rows first")</f>
        <v>Not yet - checks still to run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" t="s">
        <v>7</v>
      </c>
    </row>
    <row r="2" customFormat="false" ht="28.35" hidden="false" customHeight="false" outlineLevel="0" collapsed="false">
      <c r="A2" s="4" t="s">
        <v>8</v>
      </c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3" t="s">
        <v>9</v>
      </c>
    </row>
    <row r="5" customFormat="false" ht="28.35" hidden="false" customHeight="false" outlineLevel="0" collapsed="false">
      <c r="A5" s="4" t="s">
        <v>10</v>
      </c>
    </row>
    <row r="6" customFormat="false" ht="15" hidden="false" customHeight="false" outlineLevel="0" collapsed="false">
      <c r="A6" s="4" t="s">
        <v>11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3" t="s">
        <v>12</v>
      </c>
    </row>
    <row r="9" customFormat="false" ht="15" hidden="false" customHeight="false" outlineLevel="0" collapsed="false">
      <c r="A9" s="4" t="s">
        <v>13</v>
      </c>
    </row>
    <row r="10" customFormat="false" ht="15" hidden="false" customHeight="false" outlineLevel="0" collapsed="false">
      <c r="A10" s="4" t="s">
        <v>14</v>
      </c>
    </row>
    <row r="11" customFormat="false" ht="15" hidden="false" customHeight="false" outlineLevel="0" collapsed="false">
      <c r="A11" s="4" t="s">
        <v>15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60"/>
    <col collapsed="false" customWidth="true" hidden="false" outlineLevel="0" max="5" min="5" style="0" width="50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</row>
    <row r="2" customFormat="false" ht="28.35" hidden="false" customHeight="false" outlineLevel="0" collapsed="false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5</v>
      </c>
      <c r="H2" s="6"/>
      <c r="I2" s="6"/>
    </row>
    <row r="3" customFormat="false" ht="15" hidden="false" customHeight="false" outlineLevel="0" collapsed="false">
      <c r="A3" s="6" t="s">
        <v>32</v>
      </c>
      <c r="B3" s="6" t="s">
        <v>27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5</v>
      </c>
      <c r="H3" s="6"/>
      <c r="I3" s="6"/>
    </row>
    <row r="4" customFormat="false" ht="15" hidden="false" customHeight="false" outlineLevel="0" collapsed="false">
      <c r="A4" s="6" t="s">
        <v>37</v>
      </c>
      <c r="B4" s="6" t="s">
        <v>27</v>
      </c>
      <c r="C4" s="6" t="s">
        <v>33</v>
      </c>
      <c r="D4" s="6" t="s">
        <v>38</v>
      </c>
      <c r="E4" s="6" t="s">
        <v>39</v>
      </c>
      <c r="F4" s="6" t="s">
        <v>40</v>
      </c>
      <c r="G4" s="6" t="s">
        <v>5</v>
      </c>
      <c r="H4" s="6"/>
      <c r="I4" s="6"/>
    </row>
    <row r="5" customFormat="false" ht="15" hidden="false" customHeight="false" outlineLevel="0" collapsed="false">
      <c r="A5" s="6" t="s">
        <v>41</v>
      </c>
      <c r="B5" s="6" t="s">
        <v>27</v>
      </c>
      <c r="C5" s="6" t="s">
        <v>28</v>
      </c>
      <c r="D5" s="6" t="s">
        <v>42</v>
      </c>
      <c r="E5" s="6" t="s">
        <v>43</v>
      </c>
      <c r="F5" s="6" t="s">
        <v>44</v>
      </c>
      <c r="G5" s="6" t="s">
        <v>5</v>
      </c>
      <c r="H5" s="6"/>
      <c r="I5" s="6"/>
    </row>
    <row r="6" customFormat="false" ht="15" hidden="false" customHeight="false" outlineLevel="0" collapsed="false">
      <c r="A6" s="6" t="s">
        <v>45</v>
      </c>
      <c r="B6" s="6" t="s">
        <v>27</v>
      </c>
      <c r="C6" s="6" t="s">
        <v>46</v>
      </c>
      <c r="D6" s="6" t="s">
        <v>47</v>
      </c>
      <c r="E6" s="6" t="s">
        <v>48</v>
      </c>
      <c r="F6" s="6" t="s">
        <v>49</v>
      </c>
      <c r="G6" s="6" t="s">
        <v>5</v>
      </c>
      <c r="H6" s="6"/>
      <c r="I6" s="6"/>
    </row>
    <row r="7" customFormat="false" ht="28.35" hidden="false" customHeight="false" outlineLevel="0" collapsed="false">
      <c r="A7" s="6" t="s">
        <v>50</v>
      </c>
      <c r="B7" s="6" t="s">
        <v>51</v>
      </c>
      <c r="C7" s="6" t="s">
        <v>33</v>
      </c>
      <c r="D7" s="6" t="s">
        <v>52</v>
      </c>
      <c r="E7" s="6" t="s">
        <v>53</v>
      </c>
      <c r="F7" s="6" t="s">
        <v>54</v>
      </c>
      <c r="G7" s="6" t="s">
        <v>5</v>
      </c>
      <c r="H7" s="6"/>
      <c r="I7" s="6"/>
    </row>
    <row r="8" customFormat="false" ht="15" hidden="false" customHeight="false" outlineLevel="0" collapsed="false">
      <c r="A8" s="6" t="s">
        <v>55</v>
      </c>
      <c r="B8" s="6" t="s">
        <v>51</v>
      </c>
      <c r="C8" s="6" t="s">
        <v>56</v>
      </c>
      <c r="D8" s="6" t="s">
        <v>57</v>
      </c>
      <c r="E8" s="6" t="s">
        <v>58</v>
      </c>
      <c r="F8" s="6" t="s">
        <v>59</v>
      </c>
      <c r="G8" s="6" t="s">
        <v>5</v>
      </c>
      <c r="H8" s="6"/>
      <c r="I8" s="6"/>
    </row>
    <row r="9" customFormat="false" ht="28.35" hidden="false" customHeight="false" outlineLevel="0" collapsed="false">
      <c r="A9" s="6" t="s">
        <v>60</v>
      </c>
      <c r="B9" s="6" t="s">
        <v>51</v>
      </c>
      <c r="C9" s="6" t="s">
        <v>56</v>
      </c>
      <c r="D9" s="6" t="s">
        <v>61</v>
      </c>
      <c r="E9" s="6" t="s">
        <v>62</v>
      </c>
      <c r="F9" s="6" t="s">
        <v>63</v>
      </c>
      <c r="G9" s="6" t="s">
        <v>5</v>
      </c>
      <c r="H9" s="6"/>
      <c r="I9" s="6"/>
    </row>
    <row r="10" customFormat="false" ht="15" hidden="false" customHeight="false" outlineLevel="0" collapsed="false">
      <c r="A10" s="6" t="s">
        <v>64</v>
      </c>
      <c r="B10" s="6" t="s">
        <v>51</v>
      </c>
      <c r="C10" s="6" t="s">
        <v>56</v>
      </c>
      <c r="D10" s="6" t="s">
        <v>65</v>
      </c>
      <c r="E10" s="6" t="s">
        <v>66</v>
      </c>
      <c r="F10" s="6" t="s">
        <v>67</v>
      </c>
      <c r="G10" s="6" t="s">
        <v>5</v>
      </c>
      <c r="H10" s="6"/>
      <c r="I10" s="6"/>
    </row>
    <row r="11" customFormat="false" ht="15" hidden="false" customHeight="false" outlineLevel="0" collapsed="false">
      <c r="A11" s="6" t="s">
        <v>68</v>
      </c>
      <c r="B11" s="6" t="s">
        <v>51</v>
      </c>
      <c r="C11" s="6" t="s">
        <v>33</v>
      </c>
      <c r="D11" s="6" t="s">
        <v>69</v>
      </c>
      <c r="E11" s="6" t="s">
        <v>70</v>
      </c>
      <c r="F11" s="6" t="s">
        <v>71</v>
      </c>
      <c r="G11" s="6" t="s">
        <v>5</v>
      </c>
      <c r="H11" s="6"/>
      <c r="I11" s="6"/>
    </row>
    <row r="12" customFormat="false" ht="28.35" hidden="false" customHeight="false" outlineLevel="0" collapsed="false">
      <c r="A12" s="6" t="s">
        <v>72</v>
      </c>
      <c r="B12" s="6" t="s">
        <v>73</v>
      </c>
      <c r="C12" s="6" t="s">
        <v>74</v>
      </c>
      <c r="D12" s="6" t="s">
        <v>75</v>
      </c>
      <c r="E12" s="6" t="s">
        <v>76</v>
      </c>
      <c r="F12" s="6" t="s">
        <v>77</v>
      </c>
      <c r="G12" s="6" t="s">
        <v>5</v>
      </c>
      <c r="H12" s="6"/>
      <c r="I12" s="6"/>
    </row>
    <row r="13" customFormat="false" ht="28.35" hidden="false" customHeight="false" outlineLevel="0" collapsed="false">
      <c r="A13" s="6" t="s">
        <v>78</v>
      </c>
      <c r="B13" s="6" t="s">
        <v>73</v>
      </c>
      <c r="C13" s="6" t="s">
        <v>74</v>
      </c>
      <c r="D13" s="6" t="s">
        <v>79</v>
      </c>
      <c r="E13" s="6" t="s">
        <v>80</v>
      </c>
      <c r="F13" s="6" t="s">
        <v>81</v>
      </c>
      <c r="G13" s="6" t="s">
        <v>5</v>
      </c>
      <c r="H13" s="6"/>
      <c r="I13" s="6"/>
    </row>
    <row r="14" customFormat="false" ht="28.35" hidden="false" customHeight="false" outlineLevel="0" collapsed="false">
      <c r="A14" s="6" t="s">
        <v>82</v>
      </c>
      <c r="B14" s="6" t="s">
        <v>73</v>
      </c>
      <c r="C14" s="6" t="s">
        <v>74</v>
      </c>
      <c r="D14" s="6" t="s">
        <v>83</v>
      </c>
      <c r="E14" s="6" t="s">
        <v>84</v>
      </c>
      <c r="F14" s="6" t="s">
        <v>85</v>
      </c>
      <c r="G14" s="6" t="s">
        <v>5</v>
      </c>
      <c r="H14" s="6"/>
      <c r="I14" s="6"/>
    </row>
    <row r="15" customFormat="false" ht="28.35" hidden="false" customHeight="false" outlineLevel="0" collapsed="false">
      <c r="A15" s="6" t="s">
        <v>86</v>
      </c>
      <c r="B15" s="6" t="s">
        <v>73</v>
      </c>
      <c r="C15" s="6" t="s">
        <v>74</v>
      </c>
      <c r="D15" s="6" t="s">
        <v>87</v>
      </c>
      <c r="E15" s="6" t="s">
        <v>88</v>
      </c>
      <c r="F15" s="6" t="s">
        <v>89</v>
      </c>
      <c r="G15" s="6" t="s">
        <v>5</v>
      </c>
      <c r="H15" s="6"/>
      <c r="I15" s="6"/>
    </row>
    <row r="16" customFormat="false" ht="28.35" hidden="false" customHeight="false" outlineLevel="0" collapsed="false">
      <c r="A16" s="6" t="s">
        <v>90</v>
      </c>
      <c r="B16" s="6" t="s">
        <v>73</v>
      </c>
      <c r="C16" s="6" t="s">
        <v>74</v>
      </c>
      <c r="D16" s="6" t="s">
        <v>91</v>
      </c>
      <c r="E16" s="6" t="s">
        <v>92</v>
      </c>
      <c r="F16" s="6" t="s">
        <v>93</v>
      </c>
      <c r="G16" s="6" t="s">
        <v>5</v>
      </c>
      <c r="H16" s="6"/>
      <c r="I16" s="6"/>
    </row>
    <row r="17" customFormat="false" ht="28.35" hidden="false" customHeight="false" outlineLevel="0" collapsed="false">
      <c r="A17" s="6" t="s">
        <v>94</v>
      </c>
      <c r="B17" s="6" t="s">
        <v>95</v>
      </c>
      <c r="C17" s="6" t="s">
        <v>46</v>
      </c>
      <c r="D17" s="6" t="s">
        <v>96</v>
      </c>
      <c r="E17" s="6" t="s">
        <v>97</v>
      </c>
      <c r="F17" s="6" t="s">
        <v>98</v>
      </c>
      <c r="G17" s="6" t="s">
        <v>5</v>
      </c>
      <c r="H17" s="6"/>
      <c r="I17" s="6"/>
    </row>
    <row r="18" customFormat="false" ht="15" hidden="false" customHeight="false" outlineLevel="0" collapsed="false">
      <c r="A18" s="6" t="s">
        <v>99</v>
      </c>
      <c r="B18" s="6" t="s">
        <v>95</v>
      </c>
      <c r="C18" s="6" t="s">
        <v>46</v>
      </c>
      <c r="D18" s="6" t="s">
        <v>100</v>
      </c>
      <c r="E18" s="6" t="s">
        <v>101</v>
      </c>
      <c r="F18" s="6" t="s">
        <v>102</v>
      </c>
      <c r="G18" s="6" t="s">
        <v>5</v>
      </c>
      <c r="H18" s="6"/>
      <c r="I18" s="6"/>
    </row>
    <row r="19" customFormat="false" ht="15" hidden="false" customHeight="false" outlineLevel="0" collapsed="false">
      <c r="A19" s="6" t="s">
        <v>103</v>
      </c>
      <c r="B19" s="6" t="s">
        <v>95</v>
      </c>
      <c r="C19" s="6" t="s">
        <v>46</v>
      </c>
      <c r="D19" s="6" t="s">
        <v>104</v>
      </c>
      <c r="E19" s="6" t="s">
        <v>101</v>
      </c>
      <c r="F19" s="6" t="s">
        <v>105</v>
      </c>
      <c r="G19" s="6" t="s">
        <v>5</v>
      </c>
      <c r="H19" s="6"/>
      <c r="I19" s="6"/>
    </row>
    <row r="20" customFormat="false" ht="15" hidden="false" customHeight="false" outlineLevel="0" collapsed="false">
      <c r="A20" s="6" t="s">
        <v>106</v>
      </c>
      <c r="B20" s="6" t="s">
        <v>95</v>
      </c>
      <c r="C20" s="6" t="s">
        <v>74</v>
      </c>
      <c r="D20" s="6" t="s">
        <v>107</v>
      </c>
      <c r="E20" s="6" t="s">
        <v>108</v>
      </c>
      <c r="F20" s="6" t="s">
        <v>109</v>
      </c>
      <c r="G20" s="6" t="s">
        <v>5</v>
      </c>
      <c r="H20" s="6"/>
      <c r="I20" s="6"/>
    </row>
    <row r="21" customFormat="false" ht="15" hidden="false" customHeight="false" outlineLevel="0" collapsed="false">
      <c r="A21" s="6" t="s">
        <v>110</v>
      </c>
      <c r="B21" s="6" t="s">
        <v>95</v>
      </c>
      <c r="C21" s="6" t="s">
        <v>28</v>
      </c>
      <c r="D21" s="6" t="s">
        <v>111</v>
      </c>
      <c r="E21" s="6" t="s">
        <v>112</v>
      </c>
      <c r="F21" s="6" t="s">
        <v>93</v>
      </c>
      <c r="G21" s="6" t="s">
        <v>5</v>
      </c>
      <c r="H21" s="6"/>
      <c r="I21" s="6"/>
    </row>
    <row r="22" customFormat="false" ht="15" hidden="false" customHeight="false" outlineLevel="0" collapsed="false">
      <c r="A22" s="6" t="s">
        <v>113</v>
      </c>
      <c r="B22" s="6" t="s">
        <v>114</v>
      </c>
      <c r="C22" s="6" t="s">
        <v>28</v>
      </c>
      <c r="D22" s="6" t="s">
        <v>115</v>
      </c>
      <c r="E22" s="6" t="s">
        <v>116</v>
      </c>
      <c r="F22" s="6" t="s">
        <v>117</v>
      </c>
      <c r="G22" s="6" t="s">
        <v>5</v>
      </c>
      <c r="H22" s="6"/>
      <c r="I22" s="6"/>
    </row>
    <row r="23" customFormat="false" ht="15" hidden="false" customHeight="false" outlineLevel="0" collapsed="false">
      <c r="A23" s="6" t="s">
        <v>118</v>
      </c>
      <c r="B23" s="6" t="s">
        <v>114</v>
      </c>
      <c r="C23" s="6" t="s">
        <v>74</v>
      </c>
      <c r="D23" s="6" t="s">
        <v>119</v>
      </c>
      <c r="E23" s="6" t="s">
        <v>120</v>
      </c>
      <c r="F23" s="6" t="s">
        <v>121</v>
      </c>
      <c r="G23" s="6" t="s">
        <v>5</v>
      </c>
      <c r="H23" s="6"/>
      <c r="I23" s="6"/>
    </row>
    <row r="24" customFormat="false" ht="15" hidden="false" customHeight="false" outlineLevel="0" collapsed="false">
      <c r="A24" s="6" t="s">
        <v>122</v>
      </c>
      <c r="B24" s="6" t="s">
        <v>114</v>
      </c>
      <c r="C24" s="6" t="s">
        <v>28</v>
      </c>
      <c r="D24" s="6" t="s">
        <v>123</v>
      </c>
      <c r="E24" s="6" t="s">
        <v>124</v>
      </c>
      <c r="F24" s="6" t="s">
        <v>125</v>
      </c>
      <c r="G24" s="6" t="s">
        <v>5</v>
      </c>
      <c r="H24" s="6"/>
      <c r="I24" s="6"/>
    </row>
    <row r="25" customFormat="false" ht="15" hidden="false" customHeight="false" outlineLevel="0" collapsed="false">
      <c r="A25" s="6" t="s">
        <v>126</v>
      </c>
      <c r="B25" s="6" t="s">
        <v>114</v>
      </c>
      <c r="C25" s="6" t="s">
        <v>28</v>
      </c>
      <c r="D25" s="6" t="s">
        <v>127</v>
      </c>
      <c r="E25" s="6" t="s">
        <v>128</v>
      </c>
      <c r="F25" s="6" t="s">
        <v>129</v>
      </c>
      <c r="G25" s="6" t="s">
        <v>5</v>
      </c>
      <c r="H25" s="6"/>
      <c r="I25" s="6"/>
    </row>
    <row r="26" customFormat="false" ht="15" hidden="false" customHeight="false" outlineLevel="0" collapsed="false">
      <c r="A26" s="6" t="s">
        <v>130</v>
      </c>
      <c r="B26" s="6" t="s">
        <v>114</v>
      </c>
      <c r="C26" s="6" t="s">
        <v>28</v>
      </c>
      <c r="D26" s="6" t="s">
        <v>131</v>
      </c>
      <c r="E26" s="6" t="s">
        <v>132</v>
      </c>
      <c r="F26" s="6" t="s">
        <v>133</v>
      </c>
      <c r="G26" s="6" t="s">
        <v>5</v>
      </c>
      <c r="H26" s="6"/>
      <c r="I26" s="6"/>
    </row>
    <row r="27" customFormat="false" ht="28.35" hidden="false" customHeight="false" outlineLevel="0" collapsed="false">
      <c r="A27" s="6" t="s">
        <v>134</v>
      </c>
      <c r="B27" s="6" t="s">
        <v>114</v>
      </c>
      <c r="C27" s="6" t="s">
        <v>74</v>
      </c>
      <c r="D27" s="6" t="s">
        <v>135</v>
      </c>
      <c r="E27" s="6" t="s">
        <v>136</v>
      </c>
      <c r="F27" s="6" t="s">
        <v>137</v>
      </c>
      <c r="G27" s="6" t="s">
        <v>5</v>
      </c>
      <c r="H27" s="6"/>
      <c r="I27" s="6"/>
    </row>
    <row r="28" customFormat="false" ht="28.35" hidden="false" customHeight="false" outlineLevel="0" collapsed="false">
      <c r="A28" s="6" t="s">
        <v>138</v>
      </c>
      <c r="B28" s="6" t="s">
        <v>139</v>
      </c>
      <c r="C28" s="6" t="s">
        <v>28</v>
      </c>
      <c r="D28" s="6" t="s">
        <v>140</v>
      </c>
      <c r="E28" s="6" t="s">
        <v>141</v>
      </c>
      <c r="F28" s="6" t="s">
        <v>142</v>
      </c>
      <c r="G28" s="6" t="s">
        <v>5</v>
      </c>
      <c r="H28" s="6"/>
      <c r="I28" s="6"/>
    </row>
    <row r="29" customFormat="false" ht="15" hidden="false" customHeight="false" outlineLevel="0" collapsed="false">
      <c r="A29" s="6" t="s">
        <v>143</v>
      </c>
      <c r="B29" s="6" t="s">
        <v>139</v>
      </c>
      <c r="C29" s="6" t="s">
        <v>28</v>
      </c>
      <c r="D29" s="6" t="s">
        <v>144</v>
      </c>
      <c r="E29" s="6" t="s">
        <v>145</v>
      </c>
      <c r="F29" s="6" t="s">
        <v>146</v>
      </c>
      <c r="G29" s="6" t="s">
        <v>5</v>
      </c>
      <c r="H29" s="6"/>
      <c r="I29" s="6"/>
    </row>
    <row r="30" customFormat="false" ht="15" hidden="false" customHeight="false" outlineLevel="0" collapsed="false">
      <c r="A30" s="6" t="s">
        <v>147</v>
      </c>
      <c r="B30" s="6" t="s">
        <v>148</v>
      </c>
      <c r="C30" s="6" t="s">
        <v>28</v>
      </c>
      <c r="D30" s="6" t="s">
        <v>149</v>
      </c>
      <c r="E30" s="6" t="s">
        <v>150</v>
      </c>
      <c r="F30" s="6" t="s">
        <v>151</v>
      </c>
      <c r="G30" s="6" t="s">
        <v>5</v>
      </c>
      <c r="H30" s="6"/>
      <c r="I30" s="6"/>
    </row>
    <row r="31" customFormat="false" ht="15" hidden="false" customHeight="false" outlineLevel="0" collapsed="false">
      <c r="A31" s="6" t="s">
        <v>152</v>
      </c>
      <c r="B31" s="6" t="s">
        <v>148</v>
      </c>
      <c r="C31" s="6" t="s">
        <v>28</v>
      </c>
      <c r="D31" s="6" t="s">
        <v>153</v>
      </c>
      <c r="E31" s="6" t="s">
        <v>154</v>
      </c>
      <c r="F31" s="6" t="s">
        <v>155</v>
      </c>
      <c r="G31" s="6" t="s">
        <v>5</v>
      </c>
      <c r="H31" s="6"/>
      <c r="I31" s="6"/>
    </row>
    <row r="32" customFormat="false" ht="15" hidden="false" customHeight="false" outlineLevel="0" collapsed="false">
      <c r="A32" s="6" t="s">
        <v>156</v>
      </c>
      <c r="B32" s="6" t="s">
        <v>148</v>
      </c>
      <c r="C32" s="6" t="s">
        <v>28</v>
      </c>
      <c r="D32" s="6" t="s">
        <v>157</v>
      </c>
      <c r="E32" s="6" t="s">
        <v>158</v>
      </c>
      <c r="F32" s="6" t="s">
        <v>159</v>
      </c>
      <c r="G32" s="6" t="s">
        <v>5</v>
      </c>
      <c r="H32" s="6"/>
      <c r="I32" s="6"/>
    </row>
    <row r="33" customFormat="false" ht="28.35" hidden="false" customHeight="false" outlineLevel="0" collapsed="false">
      <c r="A33" s="6" t="s">
        <v>160</v>
      </c>
      <c r="B33" s="6" t="s">
        <v>148</v>
      </c>
      <c r="C33" s="6" t="s">
        <v>28</v>
      </c>
      <c r="D33" s="6" t="s">
        <v>161</v>
      </c>
      <c r="E33" s="6" t="s">
        <v>162</v>
      </c>
      <c r="F33" s="6" t="s">
        <v>163</v>
      </c>
      <c r="G33" s="6" t="s">
        <v>5</v>
      </c>
      <c r="H33" s="6"/>
      <c r="I33" s="6"/>
    </row>
    <row r="34" customFormat="false" ht="15" hidden="false" customHeight="false" outlineLevel="0" collapsed="false">
      <c r="A34" s="6" t="s">
        <v>164</v>
      </c>
      <c r="B34" s="6" t="s">
        <v>148</v>
      </c>
      <c r="C34" s="6" t="s">
        <v>28</v>
      </c>
      <c r="D34" s="6" t="s">
        <v>165</v>
      </c>
      <c r="E34" s="6" t="s">
        <v>166</v>
      </c>
      <c r="F34" s="6" t="s">
        <v>167</v>
      </c>
      <c r="G34" s="6" t="s">
        <v>5</v>
      </c>
      <c r="H34" s="6"/>
      <c r="I34" s="6"/>
    </row>
    <row r="35" customFormat="false" ht="15" hidden="false" customHeight="false" outlineLevel="0" collapsed="false">
      <c r="A35" s="6" t="s">
        <v>168</v>
      </c>
      <c r="B35" s="6" t="s">
        <v>169</v>
      </c>
      <c r="C35" s="6" t="s">
        <v>56</v>
      </c>
      <c r="D35" s="6" t="s">
        <v>170</v>
      </c>
      <c r="E35" s="6" t="s">
        <v>171</v>
      </c>
      <c r="F35" s="6" t="s">
        <v>172</v>
      </c>
      <c r="G35" s="6" t="s">
        <v>5</v>
      </c>
      <c r="H35" s="6"/>
      <c r="I35" s="6"/>
    </row>
    <row r="36" customFormat="false" ht="15" hidden="false" customHeight="false" outlineLevel="0" collapsed="false">
      <c r="A36" s="6" t="s">
        <v>173</v>
      </c>
      <c r="B36" s="6" t="s">
        <v>169</v>
      </c>
      <c r="C36" s="6" t="s">
        <v>28</v>
      </c>
      <c r="D36" s="6" t="s">
        <v>174</v>
      </c>
      <c r="E36" s="6" t="s">
        <v>175</v>
      </c>
      <c r="F36" s="6" t="s">
        <v>172</v>
      </c>
      <c r="G36" s="6" t="s">
        <v>5</v>
      </c>
      <c r="H36" s="6"/>
      <c r="I36" s="6"/>
    </row>
  </sheetData>
  <conditionalFormatting sqref="G2:G3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"Pass with note"</formula>
    </cfRule>
    <cfRule type="cellIs" priority="4" operator="equal" aboveAverage="0" equalAverage="0" bottom="0" percent="0" rank="0" text="" dxfId="2">
      <formula>"Fail"</formula>
    </cfRule>
    <cfRule type="cellIs" priority="5" operator="equal" aboveAverage="0" equalAverage="0" bottom="0" percent="0" rank="0" text="" dxfId="3">
      <formula>"Skipped"</formula>
    </cfRule>
  </conditionalFormatting>
  <dataValidations count="1">
    <dataValidation allowBlank="true" errorStyle="stop" operator="between" showDropDown="false" showErrorMessage="false" showInputMessage="false" sqref="G2:G36" type="list">
      <formula1>"Not run,Pass,Pass with note,Fail,Skipped"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2026-10-25T06:03:46Z</dcterms:created>
  <dc:creator>openpyxl</dc:creator>
  <dc:description/>
  <dc:language>en-US</dc:language>
  <cp:lastModifiedBy/>
  <dcterms:modified xsi:type="dcterms:W3CDTF">2026-10-25T06:03:46Z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