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Do" sheetId="2" state="visible" r:id="rId2"/>
    <sheet xmlns:r="http://schemas.openxmlformats.org/officeDocument/2006/relationships" name="Requirements" sheetId="3" state="visible" r:id="rId3"/>
    <sheet xmlns:r="http://schemas.openxmlformats.org/officeDocument/2006/relationships" name="Use Cases" sheetId="4" state="visible" r:id="rId4"/>
    <sheet xmlns:r="http://schemas.openxmlformats.org/officeDocument/2006/relationships" name="Activity Diagrams" sheetId="5" state="visible" r:id="rId5"/>
    <sheet xmlns:r="http://schemas.openxmlformats.org/officeDocument/2006/relationships" name="Contradictions" sheetId="6" state="visible" r:id="rId6"/>
    <sheet xmlns:r="http://schemas.openxmlformats.org/officeDocument/2006/relationships" name="Tech Stack" sheetId="7" state="visible" r:id="rId7"/>
    <sheet xmlns:r="http://schemas.openxmlformats.org/officeDocument/2006/relationships" name="Paper Edits" sheetId="8" state="visible" r:id="rId8"/>
    <sheet xmlns:r="http://schemas.openxmlformats.org/officeDocument/2006/relationships" name="Removals (Letter)" sheetId="9" state="visible" r:id="rId9"/>
    <sheet xmlns:r="http://schemas.openxmlformats.org/officeDocument/2006/relationships" name="Report Formats" sheetId="10" state="visible" r:id="rId10"/>
    <sheet xmlns:r="http://schemas.openxmlformats.org/officeDocument/2006/relationships" name="Interview Asks" sheetId="11" state="visible" r:id="rId11"/>
    <sheet xmlns:r="http://schemas.openxmlformats.org/officeDocument/2006/relationships" name="Manuscript Pass" sheetId="12" state="visible" r:id="rId12"/>
    <sheet xmlns:r="http://schemas.openxmlformats.org/officeDocument/2006/relationships" name="Figures" sheetId="13" state="visible" r:id="rId13"/>
  </sheets>
  <definedNames>
    <definedName name="_xlnm._FilterDatabase" localSheetId="1" hidden="1">'To-Do'!$A$1:$K$132</definedName>
    <definedName name="_xlnm._FilterDatabase" localSheetId="2" hidden="1">'Requirements'!$A$1:$K$154</definedName>
    <definedName name="_xlnm._FilterDatabase" localSheetId="3" hidden="1">'Use Cases'!$A$1:$F$71</definedName>
    <definedName name="_xlnm._FilterDatabase" localSheetId="4" hidden="1">'Activity Diagrams'!$A$1:$G$46</definedName>
    <definedName name="_xlnm._FilterDatabase" localSheetId="5" hidden="1">'Contradictions'!$A$1:$E$20</definedName>
    <definedName name="_xlnm._FilterDatabase" localSheetId="6" hidden="1">'Tech Stack'!$A$1:$E$18</definedName>
    <definedName name="_xlnm._FilterDatabase" localSheetId="7" hidden="1">'Paper Edits'!$A$1:$B$23</definedName>
    <definedName name="_xlnm._FilterDatabase" localSheetId="8" hidden="1">'Removals (Letter)'!$A$1:$E$15</definedName>
    <definedName name="_xlnm._FilterDatabase" localSheetId="9" hidden="1">'Report Formats'!$A$1:$E$13</definedName>
    <definedName name="_xlnm._FilterDatabase" localSheetId="10" hidden="1">'Interview Asks'!$A$1:$D$34</definedName>
    <definedName name="_xlnm._FilterDatabase" localSheetId="11" hidden="1">'Manuscript Pass'!$A$1:$F$48</definedName>
    <definedName name="_xlnm._FilterDatabase" localSheetId="12" hidden="1">'Figures'!$A$1:$D$16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9">
    <fill>
      <patternFill/>
    </fill>
    <fill>
      <patternFill patternType="gray125"/>
    </fill>
    <fill>
      <patternFill patternType="solid">
        <fgColor rgb="0012121B"/>
      </patternFill>
    </fill>
    <fill>
      <patternFill patternType="solid">
        <fgColor rgb="00D9F2E3"/>
      </patternFill>
    </fill>
    <fill>
      <patternFill patternType="solid">
        <fgColor rgb="00FDF1D6"/>
      </patternFill>
    </fill>
    <fill>
      <patternFill patternType="solid">
        <fgColor rgb="00FCE1C6"/>
      </patternFill>
    </fill>
    <fill>
      <patternFill patternType="solid">
        <fgColor rgb="00F9D2D4"/>
      </patternFill>
    </fill>
    <fill>
      <patternFill patternType="solid">
        <fgColor rgb="00E6E9EF"/>
      </patternFill>
    </fill>
    <fill>
      <patternFill patternType="solid">
        <fgColor rgb="00EEEEEE"/>
      </patternFill>
    </fill>
  </fills>
  <borders count="2">
    <border>
      <left/>
      <right/>
      <top/>
      <bottom/>
      <diagonal/>
    </border>
    <border>
      <left style="thin">
        <color rgb="00E5E5EA"/>
      </left>
      <right style="thin">
        <color rgb="00E5E5EA"/>
      </right>
      <top style="thin">
        <color rgb="00E5E5EA"/>
      </top>
      <bottom style="thin">
        <color rgb="00E5E5EA"/>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3"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0" fontId="3" fillId="6"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6" borderId="1" applyAlignment="1" pivotButton="0" quotePrefix="0" xfId="0">
      <alignment vertical="top" wrapText="1"/>
    </xf>
    <xf numFmtId="0" fontId="0" fillId="5"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cellXfs>
  <cellStyles count="1">
    <cellStyle name="Normal" xfId="0" builtinId="0" hidden="0"/>
  </cellStyles>
  <dxfs count="1">
    <dxf>
      <fill>
        <patternFill patternType="solid">
          <fgColor rgb="00D9F2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4" customWidth="1" min="1" max="1"/>
    <col width="70" customWidth="1" min="2" max="2"/>
    <col width="18" customWidth="1" min="3" max="3"/>
  </cols>
  <sheetData>
    <row r="1">
      <c r="A1" s="1" t="inlineStr">
        <is>
          <t>AMSON - Paper vs. System Deviation Register</t>
        </is>
      </c>
    </row>
    <row r="2">
      <c r="A2" t="inlineStr">
        <is>
          <t>Baseline: manuscript dated May 16, 2026 (approved May 22, 2026). System: branch webapp, commit 41f61c8 (2026-10-04).</t>
        </is>
      </c>
    </row>
    <row r="3">
      <c r="A3" t="inlineStr">
        <is>
          <t>Reviewed: full manuscript text incl. 4 interview transcripts; Figures 2.2-2.15 (diagrams + text), second full pass of every section incl. tech stack, Gantt, budget, references. Not compared: wireframes 2.16-2.21. The To-Do sheet is the master list.</t>
        </is>
      </c>
    </row>
    <row r="5">
      <c r="A5" s="2" t="inlineStr">
        <is>
          <t>Status</t>
        </is>
      </c>
      <c r="B5" s="2" t="inlineStr">
        <is>
          <t>Requirements</t>
        </is>
      </c>
      <c r="C5" s="2" t="inlineStr">
        <is>
          <t>Use-case bubbles</t>
        </is>
      </c>
    </row>
    <row r="6">
      <c r="A6" s="3" t="inlineStr">
        <is>
          <t>Matches</t>
        </is>
      </c>
      <c r="B6">
        <f>COUNTIF(Requirements!D:D,"Matches")</f>
        <v/>
      </c>
      <c r="C6">
        <f>COUNTIF('Use Cases'!D:D,"Matches")</f>
        <v/>
      </c>
    </row>
    <row r="7">
      <c r="A7" s="4" t="inlineStr">
        <is>
          <t>Partial</t>
        </is>
      </c>
      <c r="B7">
        <f>COUNTIF(Requirements!D:D,"Partial")</f>
        <v/>
      </c>
      <c r="C7">
        <f>COUNTIF('Use Cases'!D:D,"Partial")</f>
        <v/>
      </c>
    </row>
    <row r="8">
      <c r="A8" s="5" t="inlineStr">
        <is>
          <t>Deviates</t>
        </is>
      </c>
      <c r="B8">
        <f>COUNTIF(Requirements!D:D,"Deviates")</f>
        <v/>
      </c>
      <c r="C8">
        <f>COUNTIF('Use Cases'!D:D,"Deviates")</f>
        <v/>
      </c>
    </row>
    <row r="9">
      <c r="A9" s="6" t="inlineStr">
        <is>
          <t>Missing</t>
        </is>
      </c>
      <c r="B9">
        <f>COUNTIF(Requirements!D:D,"Missing")</f>
        <v/>
      </c>
      <c r="C9">
        <f>COUNTIF('Use Cases'!D:D,"Missing")</f>
        <v/>
      </c>
    </row>
    <row r="10">
      <c r="A10" s="7" t="inlineStr">
        <is>
          <t>Not verified</t>
        </is>
      </c>
      <c r="B10">
        <f>COUNTIF(Requirements!D:D,"Not verified")</f>
        <v/>
      </c>
      <c r="C10">
        <f>COUNTIF('Use Cases'!D:D,"Not verified")</f>
        <v/>
      </c>
    </row>
    <row r="11">
      <c r="A11" s="8" t="inlineStr">
        <is>
          <t>N/A</t>
        </is>
      </c>
      <c r="B11">
        <f>COUNTIF(Requirements!D:D,"N/A")</f>
        <v/>
      </c>
      <c r="C11">
        <f>COUNTIF('Use Cases'!D:D,"N/A")</f>
        <v/>
      </c>
    </row>
    <row r="12">
      <c r="A12" s="9" t="inlineStr">
        <is>
          <t>Total</t>
        </is>
      </c>
      <c r="B12">
        <f>SUM(B6:B11)</f>
        <v/>
      </c>
      <c r="C12">
        <f>SUM(C6:C11)</f>
        <v/>
      </c>
    </row>
    <row r="14">
      <c r="A14" s="2" t="inlineStr">
        <is>
          <t>Recommendation</t>
        </is>
      </c>
      <c r="B14" s="2" t="inlineStr">
        <is>
          <t>Requirements</t>
        </is>
      </c>
    </row>
    <row r="15">
      <c r="A15" t="inlineStr">
        <is>
          <t>Change system</t>
        </is>
      </c>
      <c r="B15">
        <f>COUNTIF(Requirements!G:G,"Change system")</f>
        <v/>
      </c>
    </row>
    <row r="16">
      <c r="A16" t="inlineStr">
        <is>
          <t>Change paper</t>
        </is>
      </c>
      <c r="B16">
        <f>COUNTIF(Requirements!G:G,"Change paper")</f>
        <v/>
      </c>
    </row>
    <row r="17">
      <c r="A17" t="inlineStr">
        <is>
          <t>System + paper</t>
        </is>
      </c>
      <c r="B17">
        <f>COUNTIF(Requirements!G:G,"System + paper")</f>
        <v/>
      </c>
    </row>
    <row r="18">
      <c r="A18" t="inlineStr">
        <is>
          <t>Move to Limitations</t>
        </is>
      </c>
      <c r="B18">
        <f>COUNTIF(Requirements!G:G,"Move to Limitations")</f>
        <v/>
      </c>
    </row>
    <row r="19">
      <c r="A19" t="inlineStr">
        <is>
          <t>Decision needed</t>
        </is>
      </c>
      <c r="B19">
        <f>COUNTIF(Requirements!G:G,"Decision needed")</f>
        <v/>
      </c>
    </row>
    <row r="20">
      <c r="A20" s="9" t="inlineStr">
        <is>
          <t>Open to-do items</t>
        </is>
      </c>
      <c r="B20">
        <f>COUNTIF('To-Do'!K:K,"Open")</f>
        <v/>
      </c>
    </row>
    <row r="22">
      <c r="A22" s="9" t="inlineStr">
        <is>
          <t>Legend</t>
        </is>
      </c>
    </row>
    <row r="23">
      <c r="A23" s="9" t="inlineStr">
        <is>
          <t>Matches</t>
        </is>
      </c>
      <c r="B23" t="inlineStr">
        <is>
          <t>System does what the paper says.</t>
        </is>
      </c>
    </row>
    <row r="24">
      <c r="A24" s="9" t="inlineStr">
        <is>
          <t>Partial</t>
        </is>
      </c>
      <c r="B24" t="inlineStr">
        <is>
          <t>Some of it is built; the rest is missing or different.</t>
        </is>
      </c>
    </row>
    <row r="25">
      <c r="A25" s="9" t="inlineStr">
        <is>
          <t>Deviates</t>
        </is>
      </c>
      <c r="B25" t="inlineStr">
        <is>
          <t>Built, but behaves differently from the paper.</t>
        </is>
      </c>
    </row>
    <row r="26">
      <c r="A26" s="9" t="inlineStr">
        <is>
          <t>Missing</t>
        </is>
      </c>
      <c r="B26" t="inlineStr">
        <is>
          <t>Not built.</t>
        </is>
      </c>
    </row>
    <row r="27">
      <c r="A27" s="9" t="inlineStr">
        <is>
          <t>Not verified</t>
        </is>
      </c>
      <c r="B27" t="inlineStr">
        <is>
          <t>Can't be judged from the code; needs testing.</t>
        </is>
      </c>
    </row>
    <row r="28">
      <c r="A28" s="9" t="inlineStr">
        <is>
          <t>Change system / Change paper / System + paper</t>
        </is>
      </c>
      <c r="B28" t="inlineStr">
        <is>
          <t>Which side to fix.</t>
        </is>
      </c>
    </row>
    <row r="29">
      <c r="A29" s="9" t="inlineStr">
        <is>
          <t>Move to Limitations</t>
        </is>
      </c>
      <c r="B29" t="inlineStr">
        <is>
          <t>Keep out of scope, state it in Scope and Limitations.</t>
        </is>
      </c>
    </row>
    <row r="30">
      <c r="A30" s="9" t="inlineStr">
        <is>
          <t>Decision needed</t>
        </is>
      </c>
      <c r="B30" t="inlineStr">
        <is>
          <t>Too big or a policy choice - the team decides.</t>
        </is>
      </c>
    </row>
    <row r="31">
      <c r="A31" s="9" t="inlineStr">
        <is>
          <t>Defense risk</t>
        </is>
      </c>
      <c r="B31" t="inlineStr">
        <is>
          <t>How likely the panel hits it: High / Med / Low.</t>
        </is>
      </c>
    </row>
    <row r="32">
      <c r="A32" s="9" t="inlineStr">
        <is>
          <t>Effort</t>
        </is>
      </c>
      <c r="B32" t="inlineStr">
        <is>
          <t>S = hours, M = about a day, L = several days.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30" customWidth="1" min="3" max="3"/>
    <col width="72" customWidth="1" min="4" max="4"/>
    <col width="14" customWidth="1" min="5" max="5"/>
    <col width="7" customWidth="1" min="6" max="6"/>
    <col width="10" customWidth="1" min="7" max="7"/>
    <col width="34" customWidth="1" min="8" max="8"/>
    <col width="22" customWidth="1" min="9" max="9"/>
    <col width="12" customWidth="1" min="10" max="10"/>
    <col width="11" customWidth="1" min="11" max="11"/>
  </cols>
  <sheetData>
    <row r="1">
      <c r="A1" s="10" t="inlineStr">
        <is>
          <t>#</t>
        </is>
      </c>
      <c r="B1" s="10" t="inlineStr">
        <is>
          <t>Area</t>
        </is>
      </c>
      <c r="C1" s="10" t="inlineStr">
        <is>
          <t>Where / refs</t>
        </is>
      </c>
      <c r="D1" s="10" t="inlineStr">
        <is>
          <t>Item</t>
        </is>
      </c>
      <c r="E1" s="10" t="inlineStr">
        <is>
          <t>Type</t>
        </is>
      </c>
      <c r="F1" s="10" t="inlineStr">
        <is>
          <t>Effort</t>
        </is>
      </c>
      <c r="G1" s="10" t="inlineStr">
        <is>
          <t>Defense risk</t>
        </is>
      </c>
      <c r="H1" s="10" t="inlineStr">
        <is>
          <t>Notes</t>
        </is>
      </c>
      <c r="I1" s="10" t="inlineStr">
        <is>
          <t>Paper impact</t>
        </is>
      </c>
      <c r="J1" s="10" t="inlineStr">
        <is>
          <t>Owner</t>
        </is>
      </c>
      <c r="K1" s="10" t="inlineStr">
        <is>
          <t>Status</t>
        </is>
      </c>
    </row>
    <row r="2">
      <c r="A2" s="11" t="n">
        <v>1</v>
      </c>
      <c r="B2" s="11" t="inlineStr">
        <is>
          <t>Client</t>
        </is>
      </c>
      <c r="C2" s="11" t="inlineStr">
        <is>
          <t>Client items (-)</t>
        </is>
      </c>
      <c r="D2"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E2" s="11" t="inlineStr">
        <is>
          <t>Manuscript pass</t>
        </is>
      </c>
      <c r="F2" s="11" t="inlineStr">
        <is>
          <t>S</t>
        </is>
      </c>
      <c r="G2" s="11" t="inlineStr">
        <is>
          <t>High</t>
        </is>
      </c>
      <c r="H2" s="11" t="inlineStr"/>
      <c r="I2" s="11" t="inlineStr">
        <is>
          <t>None</t>
        </is>
      </c>
      <c r="J2" s="11" t="inlineStr"/>
      <c r="K2" s="11" t="inlineStr">
        <is>
          <t>Open</t>
        </is>
      </c>
    </row>
    <row r="3">
      <c r="A3" s="11" t="n">
        <v>2</v>
      </c>
      <c r="B3" s="11" t="inlineStr">
        <is>
          <t>Decision</t>
        </is>
      </c>
      <c r="C3" s="11" t="inlineStr">
        <is>
          <t>REQ035-038, REQ108-110, REQNF008, REQNF012</t>
        </is>
      </c>
      <c r="D3" s="11" t="inlineStr">
        <is>
          <t>Live chat (guest/customer widget, staff console, resolve threads; AI replies)</t>
        </is>
      </c>
      <c r="E3" s="11" t="inlineStr">
        <is>
          <t>Missing</t>
        </is>
      </c>
      <c r="F3" s="11" t="inlineStr">
        <is>
          <t>L</t>
        </is>
      </c>
      <c r="G3" s="11" t="inlineStr">
        <is>
          <t>High</t>
        </is>
      </c>
      <c r="H3" s="11" t="inlineStr">
        <is>
          <t>DONE 80b3988: widget, built-in answers, Gemini via Firebase AI Logic, daily AI limit with usage shown, staff console (reply, take over, hand back, resolve), staff alert. Enable AI Logic in the Firebase console and publish rules. Decide: build (AI needs a server function) or scope down + Limitations. Affects Objective 1, Scope, Comparative Analysis.</t>
        </is>
      </c>
      <c r="I3" s="11" t="inlineStr">
        <is>
          <t>None</t>
        </is>
      </c>
      <c r="J3" s="11" t="inlineStr"/>
      <c r="K3" s="11" t="inlineStr">
        <is>
          <t>Done</t>
        </is>
      </c>
    </row>
    <row r="4">
      <c r="A4" s="11" t="n">
        <v>3</v>
      </c>
      <c r="B4" s="11" t="inlineStr">
        <is>
          <t>Decision</t>
        </is>
      </c>
      <c r="C4" s="11" t="inlineStr">
        <is>
          <t>Comparative Analysis (p.18)</t>
        </is>
      </c>
      <c r="D4" s="11" t="inlineStr">
        <is>
          <t>The proposed system gets a tick for 'AI-powered live chat'; keep only if chat is built.</t>
        </is>
      </c>
      <c r="E4" s="11" t="inlineStr">
        <is>
          <t>Manuscript pass</t>
        </is>
      </c>
      <c r="F4" s="11" t="inlineStr">
        <is>
          <t>S</t>
        </is>
      </c>
      <c r="G4" s="11" t="inlineStr">
        <is>
          <t>High</t>
        </is>
      </c>
      <c r="H4" s="11" t="inlineStr"/>
      <c r="I4" s="11" t="inlineStr">
        <is>
          <t>None</t>
        </is>
      </c>
      <c r="J4" s="11" t="inlineStr"/>
      <c r="K4" s="11" t="inlineStr">
        <is>
          <t>Open</t>
        </is>
      </c>
    </row>
    <row r="5">
      <c r="A5" s="11" t="n">
        <v>4</v>
      </c>
      <c r="B5" s="11" t="inlineStr">
        <is>
          <t>System</t>
        </is>
      </c>
      <c r="C5" s="11" t="inlineStr">
        <is>
          <t>REQ066, Title, Obj. 2</t>
        </is>
      </c>
      <c r="D5" s="11" t="inlineStr">
        <is>
          <t>Near-expiry stock removed from sale by date on every sale/catalog load, not only when Inventory is opened</t>
        </is>
      </c>
      <c r="E5" s="11" t="inlineStr">
        <is>
          <t>Partial</t>
        </is>
      </c>
      <c r="F5" s="11" t="inlineStr">
        <is>
          <t>S</t>
        </is>
      </c>
      <c r="G5" s="11" t="inlineStr">
        <is>
          <t>High</t>
        </is>
      </c>
      <c r="H5" s="11" t="inlineStr">
        <is>
          <t>DONE e1e200b. Title feature.</t>
        </is>
      </c>
      <c r="I5" s="11" t="inlineStr">
        <is>
          <t>None</t>
        </is>
      </c>
      <c r="J5" s="11" t="inlineStr"/>
      <c r="K5" s="11" t="inlineStr">
        <is>
          <t>Done</t>
        </is>
      </c>
    </row>
    <row r="6">
      <c r="A6" s="11" t="n">
        <v>5</v>
      </c>
      <c r="B6" s="11" t="inlineStr">
        <is>
          <t>System</t>
        </is>
      </c>
      <c r="C6" s="11" t="inlineStr">
        <is>
          <t>REQ058, REQ111-115, REQNF020, Obj. 3</t>
        </is>
      </c>
      <c r="D6" s="11" t="inlineStr">
        <is>
          <t>Build the Reports module: daily sales (per customer, items with batch + expiry), monthly inventory + purchases (batch, expiry, date received, receipt no., supplier), pull-out, discrepancy; date range; PDF + Excel. Wire the 5 blank Export buttons to it.</t>
        </is>
      </c>
      <c r="E6" s="11" t="inlineStr">
        <is>
          <t>Partial</t>
        </is>
      </c>
      <c r="F6" s="11" t="inlineStr">
        <is>
          <t>L</t>
        </is>
      </c>
      <c r="G6" s="11" t="inlineStr">
        <is>
          <t>High</t>
        </is>
      </c>
      <c r="H6" s="11" t="inlineStr">
        <is>
          <t>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is>
      </c>
      <c r="I6" s="11" t="inlineStr">
        <is>
          <t>None</t>
        </is>
      </c>
      <c r="J6" s="11" t="inlineStr"/>
      <c r="K6" s="11" t="inlineStr">
        <is>
          <t>Done</t>
        </is>
      </c>
    </row>
    <row r="7">
      <c r="A7" s="11" t="n">
        <v>6</v>
      </c>
      <c r="B7" s="11" t="inlineStr">
        <is>
          <t>System</t>
        </is>
      </c>
      <c r="C7" s="11" t="inlineStr">
        <is>
          <t>REQ024-025, REQ077-081, C3</t>
        </is>
      </c>
      <c r="D7" s="11" t="inlineStr">
        <is>
          <t>Prescription verification: approve/reject with mandatory reason, 'Ready for pick-up' notification, record who verified, RX filter in the queue</t>
        </is>
      </c>
      <c r="E7" s="11" t="inlineStr">
        <is>
          <t>Partial</t>
        </is>
      </c>
      <c r="F7" s="11" t="inlineStr">
        <is>
          <t>M</t>
        </is>
      </c>
      <c r="G7" s="11" t="inlineStr">
        <is>
          <t>High</t>
        </is>
      </c>
      <c r="H7" s="11" t="inlineStr">
        <is>
          <t>DONE 082ec92: RX filter, Reject Prescription with reason (7-day re-upload hold), 'ready for pick-up' notice, verifier recorded + audit.</t>
        </is>
      </c>
      <c r="I7" s="11" t="inlineStr">
        <is>
          <t>None</t>
        </is>
      </c>
      <c r="J7" s="11" t="inlineStr"/>
      <c r="K7" s="11" t="inlineStr">
        <is>
          <t>Done</t>
        </is>
      </c>
    </row>
    <row r="8">
      <c r="A8" s="11" t="n">
        <v>7</v>
      </c>
      <c r="B8" s="11" t="inlineStr">
        <is>
          <t>System</t>
        </is>
      </c>
      <c r="C8" s="11" t="inlineStr">
        <is>
          <t>REQ034, REQ104-105</t>
        </is>
      </c>
      <c r="D8" s="11" t="inlineStr">
        <is>
          <t>Show the Lalamove tracking link to the customer on their order page</t>
        </is>
      </c>
      <c r="E8" s="11" t="inlineStr">
        <is>
          <t>Partial</t>
        </is>
      </c>
      <c r="F8" s="11" t="inlineStr">
        <is>
          <t>S</t>
        </is>
      </c>
      <c r="G8" s="11" t="inlineStr">
        <is>
          <t>High</t>
        </is>
      </c>
      <c r="H8" s="11" t="inlineStr">
        <is>
          <t>DONE customer order page shows a 'Track with Lalamove' card once dispatched.</t>
        </is>
      </c>
      <c r="I8" s="11" t="inlineStr">
        <is>
          <t>None</t>
        </is>
      </c>
      <c r="J8" s="11" t="inlineStr"/>
      <c r="K8" s="11" t="inlineStr">
        <is>
          <t>Done</t>
        </is>
      </c>
    </row>
    <row r="9">
      <c r="A9" s="11" t="n">
        <v>8</v>
      </c>
      <c r="B9" s="11" t="inlineStr">
        <is>
          <t>System</t>
        </is>
      </c>
      <c r="C9" s="11" t="inlineStr">
        <is>
          <t>REQ028</t>
        </is>
      </c>
      <c r="D9" s="11" t="inlineStr">
        <is>
          <t>Add the client's real QR PH image (assets/payment-qr.png)</t>
        </is>
      </c>
      <c r="E9" s="11" t="inlineStr">
        <is>
          <t>Partial</t>
        </is>
      </c>
      <c r="F9" s="11" t="inlineStr">
        <is>
          <t>S</t>
        </is>
      </c>
      <c r="G9" s="11" t="inlineStr">
        <is>
          <t>High</t>
        </is>
      </c>
      <c r="H9" s="11" t="inlineStr">
        <is>
          <t>Need the image from the client.</t>
        </is>
      </c>
      <c r="I9" s="11" t="inlineStr">
        <is>
          <t>None</t>
        </is>
      </c>
      <c r="J9" s="11" t="inlineStr"/>
      <c r="K9" s="11" t="inlineStr">
        <is>
          <t>Open</t>
        </is>
      </c>
    </row>
    <row r="10">
      <c r="A10" s="11" t="n">
        <v>9</v>
      </c>
      <c r="B10" s="11" t="inlineStr">
        <is>
          <t>System</t>
        </is>
      </c>
      <c r="C10" s="11" t="inlineStr">
        <is>
          <t>REQ010-011</t>
        </is>
      </c>
      <c r="D10" s="11" t="inlineStr">
        <is>
          <t>Wire product search (header box) + add price-range and stock-status filters</t>
        </is>
      </c>
      <c r="E10" s="11" t="inlineStr">
        <is>
          <t>Missing</t>
        </is>
      </c>
      <c r="F10" s="11" t="inlineStr">
        <is>
          <t>S</t>
        </is>
      </c>
      <c r="G10" s="11" t="inlineStr">
        <is>
          <t>High</t>
        </is>
      </c>
      <c r="H10" s="11" t="inlineStr">
        <is>
          <t>DONE header search on every shop page -&gt; catalog keyword search (name, generic, brand, description); price range + availability filters.</t>
        </is>
      </c>
      <c r="I10" s="11" t="inlineStr">
        <is>
          <t>None</t>
        </is>
      </c>
      <c r="J10" s="11" t="inlineStr"/>
      <c r="K10" s="11" t="inlineStr">
        <is>
          <t>Done</t>
        </is>
      </c>
    </row>
    <row r="11">
      <c r="A11" s="11" t="n">
        <v>10</v>
      </c>
      <c r="B11" s="11" t="inlineStr">
        <is>
          <t>System</t>
        </is>
      </c>
      <c r="C11" s="11" t="inlineStr">
        <is>
          <t>Purpose p.3; Interviews 1-2</t>
        </is>
      </c>
      <c r="D11" s="11" t="inlineStr">
        <is>
          <t>Stop calling system documents 'Official Receipt': relabel the online PDF (js/orders.js:263) and add 'This is not an official receipt' to all system receipts/invoices</t>
        </is>
      </c>
      <c r="E11" s="11" t="inlineStr">
        <is>
          <t>Bug</t>
        </is>
      </c>
      <c r="F11" s="11" t="inlineStr">
        <is>
          <t>S</t>
        </is>
      </c>
      <c r="G11" s="11" t="inlineStr">
        <is>
          <t>High</t>
        </is>
      </c>
      <c r="H11" s="11" t="inlineStr">
        <is>
          <t>DONE e1e200b. Client is not BIR-connected by choice and issues BIR/VAT receipts manually on request.</t>
        </is>
      </c>
      <c r="I11" s="11" t="inlineStr">
        <is>
          <t>None</t>
        </is>
      </c>
      <c r="J11" s="11" t="inlineStr"/>
      <c r="K11" s="11" t="inlineStr">
        <is>
          <t>Done</t>
        </is>
      </c>
    </row>
    <row r="12">
      <c r="A12" s="11" t="n">
        <v>11</v>
      </c>
      <c r="B12" s="11" t="inlineStr">
        <is>
          <t>System</t>
        </is>
      </c>
      <c r="C12" s="11" t="inlineStr">
        <is>
          <t>REQ006, REQNF025, Limitations p.7; Interviews 1-3</t>
        </is>
      </c>
      <c r="D12" s="11" t="inlineStr">
        <is>
          <t>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is>
      </c>
      <c r="E12" s="11" t="inlineStr">
        <is>
          <t>Partial</t>
        </is>
      </c>
      <c r="F12" s="11" t="inlineStr">
        <is>
          <t>S</t>
        </is>
      </c>
      <c r="G12" s="11" t="inlineStr">
        <is>
          <t>High</t>
        </is>
      </c>
      <c r="H12" s="11" t="inlineStr">
        <is>
          <t>DONE js/legal-content.js used by the sign-up pop-up and new legal.html; written to the client's policies + Data Privacy Act. CLIENT MUST REVIEW before go-live. Panel may read the Terms during the demo.</t>
        </is>
      </c>
      <c r="I12" s="11" t="inlineStr">
        <is>
          <t>None</t>
        </is>
      </c>
      <c r="J12" s="11" t="inlineStr"/>
      <c r="K12" s="11" t="inlineStr">
        <is>
          <t>Done</t>
        </is>
      </c>
    </row>
    <row r="13">
      <c r="A13" s="11" t="n">
        <v>12</v>
      </c>
      <c r="B13" s="11" t="inlineStr">
        <is>
          <t>System</t>
        </is>
      </c>
      <c r="C13" s="11" t="inlineStr">
        <is>
          <t>Report Formats sheet; REQ111; Interviews 2, 4</t>
        </is>
      </c>
      <c r="D13" s="11" t="inlineStr">
        <is>
          <t>Record which batch (batch no. + expiry) each sold item came from, on every POS, online and wholesale sale</t>
        </is>
      </c>
      <c r="E13" s="11" t="inlineStr">
        <is>
          <t>Missing</t>
        </is>
      </c>
      <c r="F13" s="11" t="inlineStr">
        <is>
          <t>M</t>
        </is>
      </c>
      <c r="G13" s="11" t="inlineStr">
        <is>
          <t>High</t>
        </is>
      </c>
      <c r="H13" s="11" t="inlineStr">
        <is>
          <t>DONE e1e200b. Every client report lists batch + expiry per sold line; today FEFO deducts the right batch but the sale doesn't remember which. Blocks the Reports module.</t>
        </is>
      </c>
      <c r="I13" s="11" t="inlineStr">
        <is>
          <t>None</t>
        </is>
      </c>
      <c r="J13" s="11" t="inlineStr"/>
      <c r="K13" s="11" t="inlineStr">
        <is>
          <t>Done</t>
        </is>
      </c>
    </row>
    <row r="14">
      <c r="A14" s="11" t="n">
        <v>13</v>
      </c>
      <c r="B14" s="11" t="inlineStr">
        <is>
          <t>System</t>
        </is>
      </c>
      <c r="C14" s="11" t="inlineStr">
        <is>
          <t>Report Formats sheet (SI# 00008247...); Modules p.43</t>
        </is>
      </c>
      <c r="D14" s="11" t="inlineStr">
        <is>
          <t>One sequential Sales Invoice (SI#) number across walk-in, online and wholesale sales</t>
        </is>
      </c>
      <c r="E14" s="11" t="inlineStr">
        <is>
          <t>Missing</t>
        </is>
      </c>
      <c r="F14" s="11" t="inlineStr">
        <is>
          <t>S</t>
        </is>
      </c>
      <c r="G14" s="11" t="inlineStr">
        <is>
          <t>High</t>
        </is>
      </c>
      <c r="H14" s="11" t="inlineStr">
        <is>
          <t>DONE e1e200b. Replaces the separate 'receipt numbers' item; voids reference it.</t>
        </is>
      </c>
      <c r="I14" s="11" t="inlineStr">
        <is>
          <t>None</t>
        </is>
      </c>
      <c r="J14" s="11" t="inlineStr"/>
      <c r="K14" s="11" t="inlineStr">
        <is>
          <t>Done</t>
        </is>
      </c>
    </row>
    <row r="15">
      <c r="A15" s="11" t="n">
        <v>14</v>
      </c>
      <c r="B15" s="11" t="inlineStr">
        <is>
          <t>System</t>
        </is>
      </c>
      <c r="C15" s="11" t="inlineStr">
        <is>
          <t>Report Formats sheet (Payment Method section, Terms of Payment)</t>
        </is>
      </c>
      <c r="D15" s="11" t="inlineStr">
        <is>
          <t>Payment method + terms on every sale: Cash, G-Cash/QR Ph, Bank Transfer, Terminal (card), Credit (pay later); add to wholesale orders, which record none today</t>
        </is>
      </c>
      <c r="E15" s="11" t="inlineStr">
        <is>
          <t>Partial</t>
        </is>
      </c>
      <c r="F15" s="11" t="inlineStr">
        <is>
          <t>S</t>
        </is>
      </c>
      <c r="G15" s="11" t="inlineStr">
        <is>
          <t>High</t>
        </is>
      </c>
      <c r="H15" s="11" t="inlineStr">
        <is>
          <t>DONE e1e200b. Credit was ₱57,534 of ₱81,181 on the sample day.</t>
        </is>
      </c>
      <c r="I15" s="11" t="inlineStr">
        <is>
          <t>None</t>
        </is>
      </c>
      <c r="J15" s="11" t="inlineStr"/>
      <c r="K15" s="11" t="inlineStr">
        <is>
          <t>Done</t>
        </is>
      </c>
    </row>
    <row r="16">
      <c r="A16" s="11" t="n">
        <v>15</v>
      </c>
      <c r="B16" s="11" t="inlineStr">
        <is>
          <t>System + paper</t>
        </is>
      </c>
      <c r="C16" s="11" t="inlineStr">
        <is>
          <t>REQ083, REQ122, Fig 2.6, Fig 2.14, C4</t>
        </is>
      </c>
      <c r="D16" s="11" t="inlineStr">
        <is>
          <t>Walk-in void: reason, original receipt no., automatic stock restore, optional exchange item + price difference, audit entry; restricted to authorized role</t>
        </is>
      </c>
      <c r="E16" s="11" t="inlineStr">
        <is>
          <t>Missing</t>
        </is>
      </c>
      <c r="F16" s="11" t="inlineStr">
        <is>
          <t>M</t>
        </is>
      </c>
      <c r="G16" s="11" t="inlineStr">
        <is>
          <t>High</t>
        </is>
      </c>
      <c r="H16" s="11" t="inlineStr">
        <is>
          <t>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is>
      </c>
      <c r="I16" s="11" t="inlineStr">
        <is>
          <t>Corrects / rewords</t>
        </is>
      </c>
      <c r="J16" s="11" t="inlineStr"/>
      <c r="K16" s="11" t="inlineStr">
        <is>
          <t>Done</t>
        </is>
      </c>
    </row>
    <row r="17">
      <c r="A17" s="11" t="n">
        <v>16</v>
      </c>
      <c r="B17" s="11" t="inlineStr">
        <is>
          <t>System + paper</t>
        </is>
      </c>
      <c r="C17" s="11" t="inlineStr">
        <is>
          <t>REQ098, REQ102, C2</t>
        </is>
      </c>
      <c r="D17" s="11" t="inlineStr">
        <is>
          <t>Fix overpayment approval: clear the old hold, send 'Payment confirmed' notification; reword REQ098</t>
        </is>
      </c>
      <c r="E17" s="11" t="inlineStr">
        <is>
          <t>Bug</t>
        </is>
      </c>
      <c r="F17" s="11" t="inlineStr">
        <is>
          <t>S</t>
        </is>
      </c>
      <c r="G17" s="11" t="inlineStr">
        <is>
          <t>High</t>
        </is>
      </c>
      <c r="H17" s="11" t="inlineStr">
        <is>
          <t>DONE e1e200b (system part; REQ098 paper wording still to do). From the first review.</t>
        </is>
      </c>
      <c r="I17" s="11" t="inlineStr">
        <is>
          <t>Corrects / rewords</t>
        </is>
      </c>
      <c r="J17" s="11" t="inlineStr"/>
      <c r="K17" s="11" t="inlineStr">
        <is>
          <t>Done</t>
        </is>
      </c>
    </row>
    <row r="18">
      <c r="A18" s="11" t="n">
        <v>17</v>
      </c>
      <c r="B18" s="11" t="inlineStr">
        <is>
          <t>System + paper</t>
        </is>
      </c>
      <c r="C18" s="11" t="inlineStr">
        <is>
          <t>REQ071, REQ073, REQ120, REQNF011, C8</t>
        </is>
      </c>
      <c r="D18" s="11" t="inlineStr">
        <is>
          <t>Price lock: only Branch Manager sets prices on create/import too; enforce in database rules; add a reason to each price change</t>
        </is>
      </c>
      <c r="E18" s="11" t="inlineStr">
        <is>
          <t>Partial</t>
        </is>
      </c>
      <c r="F18" s="11" t="inlineStr">
        <is>
          <t>S</t>
        </is>
      </c>
      <c r="G18" s="11" t="inlineStr">
        <is>
          <t>High</t>
        </is>
      </c>
      <c r="H18" s="11" t="inlineStr">
        <is>
          <t>DONE BM-only prices in the form, batch import and quick-add (others' products saved Inactive + 'Price pending'); reason required and logged; enforced in firestore.rules - PUBLISH THE RULES in the Firebase console.</t>
        </is>
      </c>
      <c r="I18" s="11" t="inlineStr">
        <is>
          <t>Corrects / rewords</t>
        </is>
      </c>
      <c r="J18" s="11" t="inlineStr"/>
      <c r="K18" s="11" t="inlineStr">
        <is>
          <t>Done</t>
        </is>
      </c>
    </row>
    <row r="19">
      <c r="A19" s="11" t="n">
        <v>18</v>
      </c>
      <c r="B19" s="11" t="inlineStr">
        <is>
          <t>Paper</t>
        </is>
      </c>
      <c r="C19" s="11" t="inlineStr">
        <is>
          <t>Removals (Letter) sheet</t>
        </is>
      </c>
      <c r="D19" s="11" t="inlineStr">
        <is>
          <t>Letter to the panel: OpenAI -&gt; Gemini (free), Firebase Storage -&gt; Cloudinary, DataTable -&gt; custom tables, password reset via Firebase Auth, overpayment approve-and-credit, corrections to scope/conceptual framework</t>
        </is>
      </c>
      <c r="E19" s="11" t="inlineStr">
        <is>
          <t>Paper</t>
        </is>
      </c>
      <c r="F19" s="11" t="inlineStr">
        <is>
          <t>S</t>
        </is>
      </c>
      <c r="G19" s="11" t="inlineStr">
        <is>
          <t>High</t>
        </is>
      </c>
      <c r="H19" s="11" t="inlineStr">
        <is>
          <t>One letter covers all remaining removals; send before the paper edits.</t>
        </is>
      </c>
      <c r="I19" s="12" t="inlineStr">
        <is>
          <t>REMOVES / narrows - see Removals (Letter)</t>
        </is>
      </c>
      <c r="J19" s="11" t="inlineStr"/>
      <c r="K19" s="11" t="inlineStr">
        <is>
          <t>Open</t>
        </is>
      </c>
    </row>
    <row r="20">
      <c r="A20" s="11" t="n">
        <v>19</v>
      </c>
      <c r="B20" s="11" t="inlineStr">
        <is>
          <t>Paper</t>
        </is>
      </c>
      <c r="C20" s="11" t="inlineStr">
        <is>
          <t>Objectives / evaluation (p.5-6, 21-24)</t>
        </is>
      </c>
      <c r="D20" s="11" t="inlineStr">
        <is>
          <t>Obj. 4 evaluates with TAM + ISO/IEC 25010, but there is no questionnaire, respondent group, sampling, scale, or statistical treatment yet. The final paper needs the instrument and a results chapter.</t>
        </is>
      </c>
      <c r="E20" s="11" t="inlineStr">
        <is>
          <t>Manuscript pass</t>
        </is>
      </c>
      <c r="F20" s="11" t="inlineStr">
        <is>
          <t>L</t>
        </is>
      </c>
      <c r="G20" s="11" t="inlineStr">
        <is>
          <t>High</t>
        </is>
      </c>
      <c r="H20" s="11" t="inlineStr"/>
      <c r="I20" s="11" t="inlineStr">
        <is>
          <t>Corrects / rewords</t>
        </is>
      </c>
      <c r="J20" s="11" t="inlineStr"/>
      <c r="K20" s="11" t="inlineStr">
        <is>
          <t>Open</t>
        </is>
      </c>
    </row>
    <row r="21">
      <c r="A21" s="11" t="n">
        <v>20</v>
      </c>
      <c r="B21" s="11" t="inlineStr">
        <is>
          <t>Decision</t>
        </is>
      </c>
      <c r="C21" s="11" t="inlineStr">
        <is>
          <t>REQ121</t>
        </is>
      </c>
      <c r="D21" s="11" t="inlineStr">
        <is>
          <t>Sales Staff access: trim to POS + catalog view, or reword REQ121</t>
        </is>
      </c>
      <c r="E21" s="11" t="inlineStr">
        <is>
          <t>Deviates</t>
        </is>
      </c>
      <c r="F21" s="11" t="inlineStr">
        <is>
          <t>S</t>
        </is>
      </c>
      <c r="G21" s="11" t="inlineStr">
        <is>
          <t>Med</t>
        </is>
      </c>
      <c r="H21" s="11" t="inlineStr">
        <is>
          <t>DONE 57f4d80: POS (with Today's Sales) + read-only catalog; lands on POS after login. Orders access was added on purpose on 2026-10-01.</t>
        </is>
      </c>
      <c r="I21" s="11" t="inlineStr">
        <is>
          <t>None</t>
        </is>
      </c>
      <c r="J21" s="11" t="inlineStr"/>
      <c r="K21" s="11" t="inlineStr">
        <is>
          <t>Done</t>
        </is>
      </c>
    </row>
    <row r="22">
      <c r="A22" s="11" t="n">
        <v>21</v>
      </c>
      <c r="B22" s="11" t="inlineStr">
        <is>
          <t>Decision</t>
        </is>
      </c>
      <c r="C22" s="11" t="inlineStr">
        <is>
          <t>REQNF005</t>
        </is>
      </c>
      <c r="D22" s="11" t="inlineStr">
        <is>
          <t>Live updates without refresh on all order and inventory screens (staff + customer)</t>
        </is>
      </c>
      <c r="E22" s="11" t="inlineStr">
        <is>
          <t>Deviates</t>
        </is>
      </c>
      <c r="F22" s="11" t="inlineStr">
        <is>
          <t>M</t>
        </is>
      </c>
      <c r="G22" s="11" t="inlineStr">
        <is>
          <t>Med</t>
        </is>
      </c>
      <c r="H22" s="11" t="inlineStr">
        <is>
          <t>DONE 21e505b: orders (staff + customer), inventory, POS today's sales, chat.</t>
        </is>
      </c>
      <c r="I22" s="12" t="inlineStr">
        <is>
          <t>REMOVES / narrows - see Removals (Letter)</t>
        </is>
      </c>
      <c r="J22" s="11" t="inlineStr"/>
      <c r="K22" s="11" t="inlineStr">
        <is>
          <t>Done</t>
        </is>
      </c>
    </row>
    <row r="23">
      <c r="A23" s="11" t="n">
        <v>22</v>
      </c>
      <c r="B23" s="11" t="inlineStr">
        <is>
          <t>System</t>
        </is>
      </c>
      <c r="C23" s="11" t="inlineStr">
        <is>
          <t>REQNF010, REQNF013</t>
        </is>
      </c>
      <c r="D23" s="11" t="inlineStr">
        <is>
          <t>Deployment: Firebase Hosting (HTTPS) or move hosting to Limitations</t>
        </is>
      </c>
      <c r="E23" s="11" t="inlineStr">
        <is>
          <t>Missing</t>
        </is>
      </c>
      <c r="F23" s="11" t="inlineStr">
        <is>
          <t>S</t>
        </is>
      </c>
      <c r="G23" s="11" t="inlineStr">
        <is>
          <t>Med</t>
        </is>
      </c>
      <c r="H23" s="11" t="inlineStr">
        <is>
          <t>DECIDED: Netlify (already set up).</t>
        </is>
      </c>
      <c r="I23" s="11" t="inlineStr">
        <is>
          <t>None</t>
        </is>
      </c>
      <c r="J23" s="11" t="inlineStr"/>
      <c r="K23" s="11" t="inlineStr">
        <is>
          <t>Open</t>
        </is>
      </c>
    </row>
    <row r="24">
      <c r="A24" s="11" t="n">
        <v>23</v>
      </c>
      <c r="B24" s="11" t="inlineStr">
        <is>
          <t>System</t>
        </is>
      </c>
      <c r="C24" s="11" t="inlineStr">
        <is>
          <t>Report Formats sheet (Discount/Deductions columns); Interview 2</t>
        </is>
      </c>
      <c r="D24" s="11" t="inlineStr">
        <is>
          <t>Discount / deduction per sale or line, with reason and audit entry</t>
        </is>
      </c>
      <c r="E24" s="11" t="inlineStr">
        <is>
          <t>Missing</t>
        </is>
      </c>
      <c r="F24" s="11" t="inlineStr">
        <is>
          <t>M</t>
        </is>
      </c>
      <c r="G24" s="11" t="inlineStr">
        <is>
          <t>Med</t>
        </is>
      </c>
      <c r="H24" s="11" t="inlineStr">
        <is>
          <t>Client confirmed: no discounts. Not in the paper; client gives boss-approved discounts today.</t>
        </is>
      </c>
      <c r="I24" s="11" t="inlineStr">
        <is>
          <t>None (not in paper)</t>
        </is>
      </c>
      <c r="J24" s="11" t="inlineStr"/>
      <c r="K24" s="11" t="inlineStr">
        <is>
          <t>Dropped</t>
        </is>
      </c>
    </row>
    <row r="25">
      <c r="A25" s="11" t="n">
        <v>24</v>
      </c>
      <c r="B25" s="11" t="inlineStr">
        <is>
          <t>System</t>
        </is>
      </c>
      <c r="C25" s="11" t="inlineStr">
        <is>
          <t>Methodology p.30 ('actual client data'); Report Formats sheet</t>
        </is>
      </c>
      <c r="D25" s="11" t="inlineStr">
        <is>
          <t>Load the client's real March-end catalog (prices, batches, expiry) from their workbook via the existing upload templates</t>
        </is>
      </c>
      <c r="E25" s="11" t="inlineStr">
        <is>
          <t>Missing</t>
        </is>
      </c>
      <c r="F25" s="11" t="inlineStr">
        <is>
          <t>M</t>
        </is>
      </c>
      <c r="G25" s="11" t="inlineStr">
        <is>
          <t>Med</t>
        </is>
      </c>
      <c r="H25" s="11" t="inlineStr">
        <is>
          <t>DECIDED: yes, once the client sends the catalog. Makes the demo and the TAM evaluation realistic; check confidentiality with the client first.</t>
        </is>
      </c>
      <c r="I25" s="11" t="inlineStr">
        <is>
          <t>None</t>
        </is>
      </c>
      <c r="J25" s="11" t="inlineStr"/>
      <c r="K25" s="11" t="inlineStr">
        <is>
          <t>Blocked</t>
        </is>
      </c>
    </row>
    <row r="26">
      <c r="A26" s="11" t="n">
        <v>25</v>
      </c>
      <c r="B26" s="11" t="inlineStr">
        <is>
          <t>Decision</t>
        </is>
      </c>
      <c r="C26" s="11" t="inlineStr">
        <is>
          <t>Limitations (p.7)</t>
        </is>
      </c>
      <c r="D26" s="11" t="inlineStr">
        <is>
          <t>'Retail item exchanges ... coordinated through live chat': if chat is cut, change this to phone/Messenger.</t>
        </is>
      </c>
      <c r="E26" s="11" t="inlineStr">
        <is>
          <t>Manuscript pass</t>
        </is>
      </c>
      <c r="F26" s="11" t="inlineStr">
        <is>
          <t>S</t>
        </is>
      </c>
      <c r="G26" s="11" t="inlineStr">
        <is>
          <t>Med</t>
        </is>
      </c>
      <c r="H26" s="11" t="inlineStr"/>
      <c r="I26" s="11" t="inlineStr">
        <is>
          <t>None</t>
        </is>
      </c>
      <c r="J26" s="11" t="inlineStr"/>
      <c r="K26" s="11" t="inlineStr">
        <is>
          <t>Open</t>
        </is>
      </c>
    </row>
    <row r="27">
      <c r="A27" s="11" t="n">
        <v>26</v>
      </c>
      <c r="B27" s="11" t="inlineStr">
        <is>
          <t>Decision</t>
        </is>
      </c>
      <c r="C27" s="11" t="inlineStr">
        <is>
          <t>Limitations (p.7)</t>
        </is>
      </c>
      <c r="D27" s="11" t="inlineStr">
        <is>
          <t>Add new limitations if decided: hosting/deployment, live chat/AI, real-time refresh, OpenAI cost.</t>
        </is>
      </c>
      <c r="E27" s="11" t="inlineStr">
        <is>
          <t>Manuscript pass</t>
        </is>
      </c>
      <c r="F27" s="11" t="inlineStr">
        <is>
          <t>S</t>
        </is>
      </c>
      <c r="G27" s="11" t="inlineStr">
        <is>
          <t>Med</t>
        </is>
      </c>
      <c r="H27" s="11" t="inlineStr"/>
      <c r="I27" s="11" t="inlineStr">
        <is>
          <t>None</t>
        </is>
      </c>
      <c r="J27" s="11" t="inlineStr"/>
      <c r="K27" s="11" t="inlineStr">
        <is>
          <t>Open</t>
        </is>
      </c>
    </row>
    <row r="28">
      <c r="A28" s="11" t="n">
        <v>27</v>
      </c>
      <c r="B28" s="11" t="inlineStr">
        <is>
          <t>Decision</t>
        </is>
      </c>
      <c r="C28" s="11" t="inlineStr">
        <is>
          <t>Technical Background (p.35, 37)</t>
        </is>
      </c>
      <c r="D28" s="11" t="inlineStr">
        <is>
          <t>Netlify listed for hosting with continuous integration; nothing is deployed (Netlify blocked by billing). Depends on the hosting decision.</t>
        </is>
      </c>
      <c r="E28" s="11" t="inlineStr">
        <is>
          <t>Manuscript pass</t>
        </is>
      </c>
      <c r="F28" s="11" t="inlineStr">
        <is>
          <t>S</t>
        </is>
      </c>
      <c r="G28" s="11" t="inlineStr">
        <is>
          <t>Med</t>
        </is>
      </c>
      <c r="H28" s="11" t="inlineStr"/>
      <c r="I28" s="11" t="inlineStr">
        <is>
          <t>None</t>
        </is>
      </c>
      <c r="J28" s="11" t="inlineStr"/>
      <c r="K28" s="11" t="inlineStr">
        <is>
          <t>Open</t>
        </is>
      </c>
    </row>
    <row r="29">
      <c r="A29" s="11" t="n">
        <v>28</v>
      </c>
      <c r="B29" s="11" t="inlineStr">
        <is>
          <t>System</t>
        </is>
      </c>
      <c r="C29" s="11" t="inlineStr">
        <is>
          <t>-</t>
        </is>
      </c>
      <c r="D29" s="11" t="inlineStr">
        <is>
          <t>Remove or lock the Migrate Credit page (re-running it re-grants spent credit)</t>
        </is>
      </c>
      <c r="E29" s="11" t="inlineStr">
        <is>
          <t>Bug</t>
        </is>
      </c>
      <c r="F29" s="11" t="inlineStr">
        <is>
          <t>S</t>
        </is>
      </c>
      <c r="G29" s="11" t="inlineStr">
        <is>
          <t>Med</t>
        </is>
      </c>
      <c r="H29" s="11" t="inlineStr">
        <is>
          <t>DONE d9fc96b: locks itself after one run; SI counter now staff-only in rules (publish rules). From the first review.</t>
        </is>
      </c>
      <c r="I29" s="11" t="inlineStr">
        <is>
          <t>None</t>
        </is>
      </c>
      <c r="J29" s="11" t="inlineStr"/>
      <c r="K29" s="11" t="inlineStr">
        <is>
          <t>Done</t>
        </is>
      </c>
    </row>
    <row r="30">
      <c r="A30" s="11" t="n">
        <v>29</v>
      </c>
      <c r="B30" s="11" t="inlineStr">
        <is>
          <t>System</t>
        </is>
      </c>
      <c r="C30" s="11" t="inlineStr">
        <is>
          <t>REQ002</t>
        </is>
      </c>
      <c r="D30" s="11" t="inlineStr">
        <is>
          <t>Close the email-verification bypass (code readable by customer; customer can set emailVerified)</t>
        </is>
      </c>
      <c r="E30" s="11" t="inlineStr">
        <is>
          <t>Bug</t>
        </is>
      </c>
      <c r="F30" s="11" t="inlineStr">
        <is>
          <t>S</t>
        </is>
      </c>
      <c r="G30" s="11" t="inlineStr">
        <is>
          <t>Med</t>
        </is>
      </c>
      <c r="H30" s="11" t="inlineStr">
        <is>
          <t>From the first review.</t>
        </is>
      </c>
      <c r="I30" s="11" t="inlineStr">
        <is>
          <t>None</t>
        </is>
      </c>
      <c r="J30" s="11" t="inlineStr"/>
      <c r="K30" s="11" t="inlineStr">
        <is>
          <t>Open</t>
        </is>
      </c>
    </row>
    <row r="31">
      <c r="A31" s="11" t="n">
        <v>30</v>
      </c>
      <c r="B31" s="11" t="inlineStr">
        <is>
          <t>System</t>
        </is>
      </c>
      <c r="C31" s="11" t="inlineStr">
        <is>
          <t>REQ005, REQ044, Fig 2.3, Fig 2.8</t>
        </is>
      </c>
      <c r="D31" s="11" t="inlineStr">
        <is>
          <t>Unrecognized-device OTP for customers and staff</t>
        </is>
      </c>
      <c r="E31" s="11" t="inlineStr">
        <is>
          <t>Missing</t>
        </is>
      </c>
      <c r="F31" s="11" t="inlineStr">
        <is>
          <t>M</t>
        </is>
      </c>
      <c r="G31" s="11" t="inlineStr">
        <is>
          <t>Med</t>
        </is>
      </c>
      <c r="H31" s="11" t="inlineStr"/>
      <c r="I31" s="11" t="inlineStr">
        <is>
          <t>None</t>
        </is>
      </c>
      <c r="J31" s="11" t="inlineStr"/>
      <c r="K31" s="11" t="inlineStr">
        <is>
          <t>Open</t>
        </is>
      </c>
    </row>
    <row r="32">
      <c r="A32" s="11" t="n">
        <v>31</v>
      </c>
      <c r="B32" s="11" t="inlineStr">
        <is>
          <t>System</t>
        </is>
      </c>
      <c r="C32" s="11" t="inlineStr">
        <is>
          <t>REQ086, REQ089, REQ091, REQ092</t>
        </is>
      </c>
      <c r="D32" s="11" t="inlineStr">
        <is>
          <t>Wholesale: purchase history per account (with reorder from a past order), wholesale sales invoice, free-of-cost option with reason, document expiry dates</t>
        </is>
      </c>
      <c r="E32" s="11" t="inlineStr">
        <is>
          <t>Partial</t>
        </is>
      </c>
      <c r="F32" s="11" t="inlineStr">
        <is>
          <t>M</t>
        </is>
      </c>
      <c r="G32" s="11" t="inlineStr">
        <is>
          <t>Med</t>
        </is>
      </c>
      <c r="H32" s="11" t="inlineStr">
        <is>
          <t>DONE 5cad255: history, sales invoice PDF, free-of-cost, LTO/permit validity. Not built: reorder from a past order. Interview 1: free RX goods go only to medical doctors/hospitals; vitamins open to all. Interview 2: reorder what they bought weeks ago.</t>
        </is>
      </c>
      <c r="I32" s="11" t="inlineStr">
        <is>
          <t>None</t>
        </is>
      </c>
      <c r="J32" s="11" t="inlineStr"/>
      <c r="K32" s="11" t="inlineStr">
        <is>
          <t>Done</t>
        </is>
      </c>
    </row>
    <row r="33">
      <c r="A33" s="11" t="n">
        <v>32</v>
      </c>
      <c r="B33" s="11" t="inlineStr">
        <is>
          <t>System</t>
        </is>
      </c>
      <c r="C33" s="11" t="inlineStr">
        <is>
          <t>REQ090, REQ114, Fig 2.15</t>
        </is>
      </c>
      <c r="D33" s="11" t="inlineStr">
        <is>
          <t>Wholesale exchange workflow (return + FEFO replacement + audit + exchange document)</t>
        </is>
      </c>
      <c r="E33" s="11" t="inlineStr">
        <is>
          <t>Missing</t>
        </is>
      </c>
      <c r="F33" s="11" t="inlineStr">
        <is>
          <t>M</t>
        </is>
      </c>
      <c r="G33" s="11" t="inlineStr">
        <is>
          <t>Med</t>
        </is>
      </c>
      <c r="H33" s="11" t="inlineStr">
        <is>
          <t>DONE Purchase History -&gt; Exchange: return to batch, FEFO replacement, value rule, audit, exchange document; Return / Exchange report.</t>
        </is>
      </c>
      <c r="I33" s="11" t="inlineStr">
        <is>
          <t>None</t>
        </is>
      </c>
      <c r="J33" s="11" t="inlineStr"/>
      <c r="K33" s="11" t="inlineStr">
        <is>
          <t>Done</t>
        </is>
      </c>
    </row>
    <row r="34">
      <c r="A34" s="11" t="n">
        <v>33</v>
      </c>
      <c r="B34" s="11" t="inlineStr">
        <is>
          <t>System</t>
        </is>
      </c>
      <c r="C34" s="11" t="inlineStr">
        <is>
          <t>REQ067, C7</t>
        </is>
      </c>
      <c r="D34" s="11" t="inlineStr">
        <is>
          <t>2-month Bad Order: auto-flag, disposal alert, auto-deduct with write-off record</t>
        </is>
      </c>
      <c r="E34" s="11" t="inlineStr">
        <is>
          <t>Missing</t>
        </is>
      </c>
      <c r="F34" s="11" t="inlineStr">
        <is>
          <t>M</t>
        </is>
      </c>
      <c r="G34" s="11" t="inlineStr">
        <is>
          <t>Med</t>
        </is>
      </c>
      <c r="H34" s="11" t="inlineStr">
        <is>
          <t>DONE d2a957b: automatic write-off with reason, audit entry, disposal alert, Mark disposed.</t>
        </is>
      </c>
      <c r="I34" s="11" t="inlineStr">
        <is>
          <t>None</t>
        </is>
      </c>
      <c r="J34" s="11" t="inlineStr"/>
      <c r="K34" s="11" t="inlineStr">
        <is>
          <t>Done</t>
        </is>
      </c>
    </row>
    <row r="35">
      <c r="A35" s="11" t="n">
        <v>34</v>
      </c>
      <c r="B35" s="11" t="inlineStr">
        <is>
          <t>System</t>
        </is>
      </c>
      <c r="C35" s="11" t="inlineStr">
        <is>
          <t>Fig 2.6 Print Transaction Receipt, Modules p.44</t>
        </is>
      </c>
      <c r="D35" s="11" t="inlineStr">
        <is>
          <t>Receipt printing (thermal 58mm print layout) for POS sales</t>
        </is>
      </c>
      <c r="E35" s="11" t="inlineStr">
        <is>
          <t>Missing</t>
        </is>
      </c>
      <c r="F35" s="11" t="inlineStr">
        <is>
          <t>S</t>
        </is>
      </c>
      <c r="G35" s="11" t="inlineStr">
        <is>
          <t>Med</t>
        </is>
      </c>
      <c r="H35" s="11" t="inlineStr">
        <is>
          <t>DONE 57f4d80: Print button on every POS receipt; 58mm print layout. The 'not an official receipt' line was removed from POS and online receipts on 2026-10-21 at the team's request.</t>
        </is>
      </c>
      <c r="I35" s="11" t="inlineStr">
        <is>
          <t>None</t>
        </is>
      </c>
      <c r="J35" s="11" t="inlineStr"/>
      <c r="K35" s="11" t="inlineStr">
        <is>
          <t>Done</t>
        </is>
      </c>
    </row>
    <row r="36">
      <c r="A36" s="11" t="n">
        <v>35</v>
      </c>
      <c r="B36" s="11" t="inlineStr">
        <is>
          <t>System</t>
        </is>
      </c>
      <c r="C36" s="11" t="inlineStr">
        <is>
          <t>REQ084</t>
        </is>
      </c>
      <c r="D36" s="11" t="inlineStr">
        <is>
          <t>POS: RX Verified checkbox + optional notes</t>
        </is>
      </c>
      <c r="E36" s="11" t="inlineStr">
        <is>
          <t>Missing</t>
        </is>
      </c>
      <c r="F36" s="11" t="inlineStr">
        <is>
          <t>S</t>
        </is>
      </c>
      <c r="G36" s="11" t="inlineStr">
        <is>
          <t>Med</t>
        </is>
      </c>
      <c r="H36" s="11" t="inlineStr">
        <is>
          <t>DONE 57f4d80: checkbox + notes, required for RX items, saved on the sale.</t>
        </is>
      </c>
      <c r="I36" s="11" t="inlineStr">
        <is>
          <t>None</t>
        </is>
      </c>
      <c r="J36" s="11" t="inlineStr"/>
      <c r="K36" s="11" t="inlineStr">
        <is>
          <t>Done</t>
        </is>
      </c>
    </row>
    <row r="37">
      <c r="A37" s="11" t="n">
        <v>36</v>
      </c>
      <c r="B37" s="11" t="inlineStr">
        <is>
          <t>System</t>
        </is>
      </c>
      <c r="C37" s="11" t="inlineStr">
        <is>
          <t>REQ061, C5</t>
        </is>
      </c>
      <c r="D37" s="11" t="inlineStr">
        <is>
          <t>Reconciliation: Branch Manager-only finalize + variance reason in audit log</t>
        </is>
      </c>
      <c r="E37" s="11" t="inlineStr">
        <is>
          <t>Partial</t>
        </is>
      </c>
      <c r="F37" s="11" t="inlineStr">
        <is>
          <t>S</t>
        </is>
      </c>
      <c r="G37" s="11" t="inlineStr">
        <is>
          <t>Med</t>
        </is>
      </c>
      <c r="H37" s="11" t="inlineStr">
        <is>
          <t>DONE 06574da: others save counts; BM finalizes; variance reason required and logged.</t>
        </is>
      </c>
      <c r="I37" s="11" t="inlineStr">
        <is>
          <t>None</t>
        </is>
      </c>
      <c r="J37" s="11" t="inlineStr"/>
      <c r="K37" s="11" t="inlineStr">
        <is>
          <t>Done</t>
        </is>
      </c>
    </row>
    <row r="38">
      <c r="A38" s="11" t="n">
        <v>37</v>
      </c>
      <c r="B38" s="11" t="inlineStr">
        <is>
          <t>System</t>
        </is>
      </c>
      <c r="C38" s="11" t="inlineStr">
        <is>
          <t>REQNF025, REQNF029</t>
        </is>
      </c>
      <c r="D38" s="11" t="inlineStr">
        <is>
          <t>Remove dead links and filler: Live Chat sidebar link, chat buttons, footer sample text, footer Privacy/Terms links</t>
        </is>
      </c>
      <c r="E38" s="11" t="inlineStr">
        <is>
          <t>Polish</t>
        </is>
      </c>
      <c r="F38" s="11" t="inlineStr">
        <is>
          <t>S</t>
        </is>
      </c>
      <c r="G38" s="11" t="inlineStr">
        <is>
          <t>Med</t>
        </is>
      </c>
      <c r="H38" s="11" t="inlineStr">
        <is>
          <t>DONE footer rebuilt from js/store-info.js (real About text, links to legal.html; contact/LTO lines hidden until the client confirms them); chat links hidden until chat is built; payment page Terms link fixed. From the first review.</t>
        </is>
      </c>
      <c r="I38" s="11" t="inlineStr">
        <is>
          <t>None</t>
        </is>
      </c>
      <c r="J38" s="11" t="inlineStr"/>
      <c r="K38" s="11" t="inlineStr">
        <is>
          <t>Done</t>
        </is>
      </c>
    </row>
    <row r="39">
      <c r="A39" s="11" t="n">
        <v>38</v>
      </c>
      <c r="B39" s="11" t="inlineStr">
        <is>
          <t>System</t>
        </is>
      </c>
      <c r="C39" s="11" t="inlineStr">
        <is>
          <t>REQ039, REQ042</t>
        </is>
      </c>
      <c r="D39" s="11" t="inlineStr">
        <is>
          <t>Email notifications for key order events + on/off toggle in Account Settings</t>
        </is>
      </c>
      <c r="E39" s="11" t="inlineStr">
        <is>
          <t>Partial</t>
        </is>
      </c>
      <c r="F39" s="11" t="inlineStr">
        <is>
          <t>M</t>
        </is>
      </c>
      <c r="G39" s="11" t="inlineStr">
        <is>
          <t>Med</t>
        </is>
      </c>
      <c r="H39" s="11" t="inlineStr">
        <is>
          <t>EmailJS free tier: 200/month.</t>
        </is>
      </c>
      <c r="I39" s="11" t="inlineStr">
        <is>
          <t>None</t>
        </is>
      </c>
      <c r="J39" s="11" t="inlineStr"/>
      <c r="K39" s="11" t="inlineStr">
        <is>
          <t>Open</t>
        </is>
      </c>
    </row>
    <row r="40">
      <c r="A40" s="11" t="n">
        <v>39</v>
      </c>
      <c r="B40" s="11" t="inlineStr">
        <is>
          <t>System</t>
        </is>
      </c>
      <c r="C40" s="11" t="inlineStr">
        <is>
          <t>REQ122</t>
        </is>
      </c>
      <c r="D40" s="11" t="inlineStr">
        <is>
          <t>Audit log completeness: structured before/after, reasons, more events (receiving, PO, product create/delete, RX verification)</t>
        </is>
      </c>
      <c r="E40" s="11" t="inlineStr">
        <is>
          <t>Partial</t>
        </is>
      </c>
      <c r="F40" s="11" t="inlineStr">
        <is>
          <t>M</t>
        </is>
      </c>
      <c r="G40" s="11" t="inlineStr">
        <is>
          <t>Med</t>
        </is>
      </c>
      <c r="H40" s="11" t="inlineStr"/>
      <c r="I40" s="11" t="inlineStr">
        <is>
          <t>None</t>
        </is>
      </c>
      <c r="J40" s="11" t="inlineStr"/>
      <c r="K40" s="11" t="inlineStr">
        <is>
          <t>Open</t>
        </is>
      </c>
    </row>
    <row r="41">
      <c r="A41" s="11" t="n">
        <v>40</v>
      </c>
      <c r="B41" s="11" t="inlineStr">
        <is>
          <t>System</t>
        </is>
      </c>
      <c r="C41" s="11" t="inlineStr">
        <is>
          <t>REQ014</t>
        </is>
      </c>
      <c r="D41" s="11" t="inlineStr">
        <is>
          <t>Save cart to the customer's account</t>
        </is>
      </c>
      <c r="E41" s="11" t="inlineStr">
        <is>
          <t>Deviates</t>
        </is>
      </c>
      <c r="F41" s="11" t="inlineStr">
        <is>
          <t>S</t>
        </is>
      </c>
      <c r="G41" s="11" t="inlineStr">
        <is>
          <t>Med</t>
        </is>
      </c>
      <c r="H41" s="11" t="inlineStr">
        <is>
          <t>DONE 77336f3.</t>
        </is>
      </c>
      <c r="I41" s="11" t="inlineStr">
        <is>
          <t>None</t>
        </is>
      </c>
      <c r="J41" s="11" t="inlineStr"/>
      <c r="K41" s="11" t="inlineStr">
        <is>
          <t>Done</t>
        </is>
      </c>
    </row>
    <row r="42">
      <c r="A42" s="11" t="n">
        <v>41</v>
      </c>
      <c r="B42" s="11" t="inlineStr">
        <is>
          <t>System</t>
        </is>
      </c>
      <c r="C42" s="11" t="inlineStr">
        <is>
          <t>REQNF003, REQNF007</t>
        </is>
      </c>
      <c r="D42" s="11" t="inlineStr">
        <is>
          <t>Phone/tablet and cross-browser test pass</t>
        </is>
      </c>
      <c r="E42" s="11" t="inlineStr">
        <is>
          <t>Not verified</t>
        </is>
      </c>
      <c r="F42" s="11" t="inlineStr">
        <is>
          <t>S</t>
        </is>
      </c>
      <c r="G42" s="11" t="inlineStr">
        <is>
          <t>Med</t>
        </is>
      </c>
      <c r="H42" s="11" t="inlineStr"/>
      <c r="I42" s="11" t="inlineStr">
        <is>
          <t>None</t>
        </is>
      </c>
      <c r="J42" s="11" t="inlineStr"/>
      <c r="K42" s="11" t="inlineStr">
        <is>
          <t>Open</t>
        </is>
      </c>
    </row>
    <row r="43">
      <c r="A43" s="11" t="n">
        <v>42</v>
      </c>
      <c r="B43" s="11" t="inlineStr">
        <is>
          <t>System</t>
        </is>
      </c>
      <c r="C43" s="11" t="inlineStr">
        <is>
          <t>Interviews 2, 4</t>
        </is>
      </c>
      <c r="D43" s="11" t="inlineStr">
        <is>
          <t>Supplier receipt / DR number field on Receive Stock and PO receiving</t>
        </is>
      </c>
      <c r="E43" s="11" t="inlineStr">
        <is>
          <t>Missing</t>
        </is>
      </c>
      <c r="F43" s="11" t="inlineStr">
        <is>
          <t>S</t>
        </is>
      </c>
      <c r="G43" s="11" t="inlineStr">
        <is>
          <t>Med</t>
        </is>
      </c>
      <c r="H43" s="11" t="inlineStr">
        <is>
          <t>DONE e1e200b. Required column in the monthly purchases report.</t>
        </is>
      </c>
      <c r="I43" s="11" t="inlineStr">
        <is>
          <t>None</t>
        </is>
      </c>
      <c r="J43" s="11" t="inlineStr"/>
      <c r="K43" s="11" t="inlineStr">
        <is>
          <t>Done</t>
        </is>
      </c>
    </row>
    <row r="44">
      <c r="A44" s="11" t="n">
        <v>43</v>
      </c>
      <c r="B44" s="11" t="inlineStr">
        <is>
          <t>System</t>
        </is>
      </c>
      <c r="C44" s="11" t="inlineStr">
        <is>
          <t>Interview 4 walkthrough</t>
        </is>
      </c>
      <c r="D44" s="11" t="inlineStr">
        <is>
          <t>Supplier history: everything received from each supplier</t>
        </is>
      </c>
      <c r="E44" s="11" t="inlineStr">
        <is>
          <t>Missing</t>
        </is>
      </c>
      <c r="F44" s="11" t="inlineStr">
        <is>
          <t>S</t>
        </is>
      </c>
      <c r="G44" s="11" t="inlineStr">
        <is>
          <t>Med</t>
        </is>
      </c>
      <c r="H44" s="11" t="inlineStr">
        <is>
          <t>DONE Reports -&gt; Supplier Purchases (per supplier, per month). Shown to the client during the prototype walkthrough.</t>
        </is>
      </c>
      <c r="I44" s="11" t="inlineStr">
        <is>
          <t>None</t>
        </is>
      </c>
      <c r="J44" s="11" t="inlineStr"/>
      <c r="K44" s="11" t="inlineStr">
        <is>
          <t>Done</t>
        </is>
      </c>
    </row>
    <row r="45">
      <c r="A45" s="11" t="n">
        <v>44</v>
      </c>
      <c r="B45" s="11" t="inlineStr">
        <is>
          <t>System</t>
        </is>
      </c>
      <c r="C45" s="11" t="inlineStr">
        <is>
          <t>Methodology p.30; Interview 4</t>
        </is>
      </c>
      <c r="D45" s="11" t="inlineStr">
        <is>
          <t>User manual + hands-on training + handover to the branch</t>
        </is>
      </c>
      <c r="E45" s="11" t="inlineStr">
        <is>
          <t>Missing</t>
        </is>
      </c>
      <c r="F45" s="11" t="inlineStr">
        <is>
          <t>M</t>
        </is>
      </c>
      <c r="G45" s="11" t="inlineStr">
        <is>
          <t>Med</t>
        </is>
      </c>
      <c r="H45" s="11" t="inlineStr">
        <is>
          <t>Client: 'kailangan pa namin gamayin, i-hands on pa namin to'.</t>
        </is>
      </c>
      <c r="I45" s="11" t="inlineStr">
        <is>
          <t>None</t>
        </is>
      </c>
      <c r="J45" s="11" t="inlineStr"/>
      <c r="K45" s="11" t="inlineStr">
        <is>
          <t>Open</t>
        </is>
      </c>
    </row>
    <row r="46">
      <c r="A46" s="11" t="n">
        <v>45</v>
      </c>
      <c r="B46" s="11" t="inlineStr">
        <is>
          <t>System</t>
        </is>
      </c>
      <c r="C46" s="11" t="inlineStr">
        <is>
          <t>Report Formats sheet (Customer File shows named walk-ins, e.g. EMPLOYEE)</t>
        </is>
      </c>
      <c r="D46" s="11" t="inlineStr">
        <is>
          <t>Optional customer name on walk-in sales (default 'Walk-in')</t>
        </is>
      </c>
      <c r="E46" s="11" t="inlineStr">
        <is>
          <t>Missing</t>
        </is>
      </c>
      <c r="F46" s="11" t="inlineStr">
        <is>
          <t>S</t>
        </is>
      </c>
      <c r="G46" s="11" t="inlineStr">
        <is>
          <t>Med</t>
        </is>
      </c>
      <c r="H46" s="11" t="inlineStr">
        <is>
          <t>DONE e1e200b. Customer File groups every sale by customer name.</t>
        </is>
      </c>
      <c r="I46" s="11" t="inlineStr">
        <is>
          <t>None</t>
        </is>
      </c>
      <c r="J46" s="11" t="inlineStr"/>
      <c r="K46" s="11" t="inlineStr">
        <is>
          <t>Done</t>
        </is>
      </c>
    </row>
    <row r="47">
      <c r="A47" s="11" t="n">
        <v>46</v>
      </c>
      <c r="B47" s="11" t="inlineStr">
        <is>
          <t>System</t>
        </is>
      </c>
      <c r="C47" s="11" t="inlineStr">
        <is>
          <t>Report Formats sheet (Supplier sheets)</t>
        </is>
      </c>
      <c r="D47" s="11" t="inlineStr">
        <is>
          <t>Unit cost, supplier receipt no., brand and pack on each stock receiving entry</t>
        </is>
      </c>
      <c r="E47" s="11" t="inlineStr">
        <is>
          <t>Partial</t>
        </is>
      </c>
      <c r="F47" s="11" t="inlineStr">
        <is>
          <t>S</t>
        </is>
      </c>
      <c r="G47" s="11" t="inlineStr">
        <is>
          <t>Med</t>
        </is>
      </c>
      <c r="H47" s="11" t="inlineStr">
        <is>
          <t>DONE e1e200b: unit cost + receipt/DR no. added; pack size stays in the product name as the branch does today. Monthly purchases report needs cost per delivery, not just the product's current costing.</t>
        </is>
      </c>
      <c r="I47" s="11" t="inlineStr">
        <is>
          <t>None</t>
        </is>
      </c>
      <c r="J47" s="11" t="inlineStr"/>
      <c r="K47" s="11" t="inlineStr">
        <is>
          <t>Done</t>
        </is>
      </c>
    </row>
    <row r="48">
      <c r="A48" s="11" t="n">
        <v>47</v>
      </c>
      <c r="B48" s="11" t="inlineStr">
        <is>
          <t>System</t>
        </is>
      </c>
      <c r="C48" s="11" t="inlineStr">
        <is>
          <t>Report Formats sheet (monthly sheets); js/products-data.js:401</t>
        </is>
      </c>
      <c r="D48" s="11" t="inlineStr">
        <is>
          <t>Match the client's categories: Generics, Branded, Drugstore (per piece), Medical Supplies, Grocery</t>
        </is>
      </c>
      <c r="E48" s="11" t="inlineStr">
        <is>
          <t>Deviates</t>
        </is>
      </c>
      <c r="F48" s="11" t="inlineStr">
        <is>
          <t>S</t>
        </is>
      </c>
      <c r="G48" s="11" t="inlineStr">
        <is>
          <t>Med</t>
        </is>
      </c>
      <c r="H48" s="11" t="inlineStr">
        <is>
          <t>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is>
      </c>
      <c r="I48" s="11" t="inlineStr">
        <is>
          <t>None</t>
        </is>
      </c>
      <c r="J48" s="11" t="inlineStr"/>
      <c r="K48" s="11" t="inlineStr">
        <is>
          <t>Done</t>
        </is>
      </c>
    </row>
    <row r="49">
      <c r="A49" s="11" t="n">
        <v>48</v>
      </c>
      <c r="B49" s="11" t="inlineStr">
        <is>
          <t>System</t>
        </is>
      </c>
      <c r="C49" s="11" t="inlineStr">
        <is>
          <t>REQ085, REQ087</t>
        </is>
      </c>
      <c r="D49" s="11" t="inlineStr">
        <is>
          <t>Optional agreed price per wholesale buyer per product, used as default on their orders</t>
        </is>
      </c>
      <c r="E49" s="11" t="inlineStr">
        <is>
          <t>Partial</t>
        </is>
      </c>
      <c r="F49" s="11" t="inlineStr">
        <is>
          <t>M</t>
        </is>
      </c>
      <c r="G49" s="11" t="inlineStr">
        <is>
          <t>Med</t>
        </is>
      </c>
      <c r="H49" s="11" t="inlineStr">
        <is>
          <t>DONE saved from Process Order, listed in Edit account, default on orders. Keeps per-account pricing (no letter).</t>
        </is>
      </c>
      <c r="I49" s="12" t="inlineStr">
        <is>
          <t>REMOVES / narrows - see Removals (Letter)</t>
        </is>
      </c>
      <c r="J49" s="11" t="inlineStr"/>
      <c r="K49" s="11" t="inlineStr">
        <is>
          <t>Done</t>
        </is>
      </c>
    </row>
    <row r="50">
      <c r="A50" s="11" t="n">
        <v>49</v>
      </c>
      <c r="B50" s="11" t="inlineStr">
        <is>
          <t>System</t>
        </is>
      </c>
      <c r="C50" s="11" t="inlineStr">
        <is>
          <t>Production readiness</t>
        </is>
      </c>
      <c r="D50" s="11" t="inlineStr">
        <is>
          <t>Cut database reads: stop loading whole collections on every page (Firestore free-plan daily read cap ~50k)</t>
        </is>
      </c>
      <c r="E50" s="11" t="inlineStr">
        <is>
          <t>Partial</t>
        </is>
      </c>
      <c r="F50" s="11" t="inlineStr">
        <is>
          <t>M</t>
        </is>
      </c>
      <c r="G50" s="11" t="inlineStr">
        <is>
          <t>Med</t>
        </is>
      </c>
      <c r="H50" s="11" t="inlineStr">
        <is>
          <t>Needed before real use with the client's ~1,000-product catalog.</t>
        </is>
      </c>
      <c r="I50" s="11" t="inlineStr">
        <is>
          <t>None</t>
        </is>
      </c>
      <c r="J50" s="11" t="inlineStr"/>
      <c r="K50" s="11" t="inlineStr">
        <is>
          <t>Open</t>
        </is>
      </c>
    </row>
    <row r="51">
      <c r="A51" s="11" t="n">
        <v>50</v>
      </c>
      <c r="B51" s="11" t="inlineStr">
        <is>
          <t>System</t>
        </is>
      </c>
      <c r="C51" s="11" t="inlineStr">
        <is>
          <t>Dashboard module p.40; Interview 4 (dashboard export)</t>
        </is>
      </c>
      <c r="D51" s="11" t="inlineStr">
        <is>
          <t>Dashboard Sales Analytics: show which dates the Today/Week/Month/Year view covers, and add a picker to choose a specific day, week, month or year (with previous/next)</t>
        </is>
      </c>
      <c r="E51" s="11" t="inlineStr">
        <is>
          <t>Missing</t>
        </is>
      </c>
      <c r="F51" s="11" t="inlineStr">
        <is>
          <t>S</t>
        </is>
      </c>
      <c r="G51" s="11" t="inlineStr">
        <is>
          <t>Med</t>
        </is>
      </c>
      <c r="H51" s="11" t="inlineStr">
        <is>
          <t>DONE cb08e78: date range shown; Day/Week/Month/Year with previous/next and a date picker; exports name the period. Requested by the team 2026-10-21. Chart, totals and the export should all follow the picked period, and the export title should name it.</t>
        </is>
      </c>
      <c r="I51" s="11" t="inlineStr">
        <is>
          <t>None</t>
        </is>
      </c>
      <c r="J51" s="11" t="inlineStr"/>
      <c r="K51" s="11" t="inlineStr">
        <is>
          <t>Done</t>
        </is>
      </c>
    </row>
    <row r="52">
      <c r="A52" s="11" t="n">
        <v>51</v>
      </c>
      <c r="B52" s="11" t="inlineStr">
        <is>
          <t>System</t>
        </is>
      </c>
      <c r="C52" s="11" t="inlineStr">
        <is>
          <t>Project Context (p.1)</t>
        </is>
      </c>
      <c r="D52" s="11" t="inlineStr">
        <is>
          <t>Says the old POS couldn't print batch numbers, expiration dates or supplier details on receipts. The new receipts don't show them either; add batch/expiry to receipts and reports, or soften the sentence.</t>
        </is>
      </c>
      <c r="E52" s="11" t="inlineStr">
        <is>
          <t>Manuscript pass</t>
        </is>
      </c>
      <c r="F52" s="11" t="inlineStr">
        <is>
          <t>S</t>
        </is>
      </c>
      <c r="G52" s="11" t="inlineStr">
        <is>
          <t>Med</t>
        </is>
      </c>
      <c r="H52" s="11" t="inlineStr">
        <is>
          <t>DONE Wholesale sales invoices, the Customer File report and Return/Exchange report carry batch + expiry per line; no paper change needed.</t>
        </is>
      </c>
      <c r="I52" s="11" t="inlineStr">
        <is>
          <t>None</t>
        </is>
      </c>
      <c r="J52" s="11" t="inlineStr"/>
      <c r="K52" s="11" t="inlineStr">
        <is>
          <t>Done</t>
        </is>
      </c>
    </row>
    <row r="53">
      <c r="A53" s="11" t="n">
        <v>52</v>
      </c>
      <c r="B53" s="11" t="inlineStr">
        <is>
          <t>System</t>
        </is>
      </c>
      <c r="C53" s="11" t="inlineStr">
        <is>
          <t>Theoretical Framework (p.24)</t>
        </is>
      </c>
      <c r="D53" s="11" t="inlineStr">
        <is>
          <t>'Only authorized branch managers can ... override automated inventory counts': needs the REQ061 fix (Branch Manager-only reconciliation finalize).</t>
        </is>
      </c>
      <c r="E53" s="11" t="inlineStr">
        <is>
          <t>Manuscript pass</t>
        </is>
      </c>
      <c r="F53" s="11" t="inlineStr">
        <is>
          <t>S</t>
        </is>
      </c>
      <c r="G53" s="11" t="inlineStr">
        <is>
          <t>Med</t>
        </is>
      </c>
      <c r="H53" s="11" t="inlineStr">
        <is>
          <t>DONE 06574da: system now matches (BM-only finalize).</t>
        </is>
      </c>
      <c r="I53" s="11" t="inlineStr">
        <is>
          <t>None</t>
        </is>
      </c>
      <c r="J53" s="11" t="inlineStr"/>
      <c r="K53" s="11" t="inlineStr">
        <is>
          <t>Done</t>
        </is>
      </c>
    </row>
    <row r="54">
      <c r="A54" s="11" t="n">
        <v>53</v>
      </c>
      <c r="B54" s="11" t="inlineStr">
        <is>
          <t>System</t>
        </is>
      </c>
      <c r="C54" s="11" t="inlineStr">
        <is>
          <t>Conceptual Framework (Output) (p.27)</t>
        </is>
      </c>
      <c r="D54" s="11" t="inlineStr">
        <is>
          <t>'Terms and Conditions remain available throughout the session': footer Privacy/Terms links are dead. Link them to the existing legal text.</t>
        </is>
      </c>
      <c r="E54" s="11" t="inlineStr">
        <is>
          <t>Manuscript pass</t>
        </is>
      </c>
      <c r="F54" s="11" t="inlineStr">
        <is>
          <t>S</t>
        </is>
      </c>
      <c r="G54" s="11" t="inlineStr">
        <is>
          <t>Med</t>
        </is>
      </c>
      <c r="H54" s="11" t="inlineStr">
        <is>
          <t>DONE footer links to legal.html on every page.</t>
        </is>
      </c>
      <c r="I54" s="11" t="inlineStr">
        <is>
          <t>None</t>
        </is>
      </c>
      <c r="J54" s="11" t="inlineStr"/>
      <c r="K54" s="11" t="inlineStr">
        <is>
          <t>Done</t>
        </is>
      </c>
    </row>
    <row r="55">
      <c r="A55" s="11" t="n">
        <v>54</v>
      </c>
      <c r="B55" s="11" t="inlineStr">
        <is>
          <t>System + paper</t>
        </is>
      </c>
      <c r="C55" s="11" t="inlineStr">
        <is>
          <t>Modules: Staff roles (p.45-46)</t>
        </is>
      </c>
      <c r="D55" s="11" t="inlineStr">
        <is>
          <t>Lists 'void authorization' for Branch Manager and Technical Staff: needs the void feature. 'Sales Staff: product catalog viewing only': see REQ121 decision.</t>
        </is>
      </c>
      <c r="E55" s="11" t="inlineStr">
        <is>
          <t>Manuscript pass</t>
        </is>
      </c>
      <c r="F55" s="11" t="inlineStr">
        <is>
          <t>S</t>
        </is>
      </c>
      <c r="G55" s="11" t="inlineStr">
        <is>
          <t>Med</t>
        </is>
      </c>
      <c r="H55" s="11" t="inlineStr">
        <is>
          <t>DONE 57f4d80: void built for BM/Technical; Sales Staff POS-only.</t>
        </is>
      </c>
      <c r="I55" s="11" t="inlineStr">
        <is>
          <t>Corrects / rewords</t>
        </is>
      </c>
      <c r="J55" s="11" t="inlineStr"/>
      <c r="K55" s="11" t="inlineStr">
        <is>
          <t>Done</t>
        </is>
      </c>
    </row>
    <row r="56">
      <c r="A56" s="11" t="n">
        <v>55</v>
      </c>
      <c r="B56" s="11" t="inlineStr">
        <is>
          <t>Paper</t>
        </is>
      </c>
      <c r="C56" s="11" t="inlineStr">
        <is>
          <t>REQ007 / Technical Background p.35-36</t>
        </is>
      </c>
      <c r="D56" s="11" t="inlineStr">
        <is>
          <t>Password reset link is sent by Firebase Authentication, not EmailJS.</t>
        </is>
      </c>
      <c r="E56" s="11" t="inlineStr">
        <is>
          <t>Paper edit</t>
        </is>
      </c>
      <c r="F56" s="11" t="inlineStr">
        <is>
          <t>S</t>
        </is>
      </c>
      <c r="G56" s="11" t="inlineStr">
        <is>
          <t>Med</t>
        </is>
      </c>
      <c r="H56" s="11" t="inlineStr">
        <is>
          <t>See Contradictions / Paper Edits</t>
        </is>
      </c>
      <c r="I56" s="11" t="inlineStr">
        <is>
          <t>Corrects / rewords</t>
        </is>
      </c>
      <c r="J56" s="11" t="inlineStr"/>
      <c r="K56" s="11" t="inlineStr">
        <is>
          <t>Open</t>
        </is>
      </c>
    </row>
    <row r="57">
      <c r="A57" s="11" t="n">
        <v>56</v>
      </c>
      <c r="B57" s="11" t="inlineStr">
        <is>
          <t>Paper</t>
        </is>
      </c>
      <c r="C57" s="11" t="inlineStr">
        <is>
          <t>REQ008 p.47; Modules p.38</t>
        </is>
      </c>
      <c r="D57" s="11" t="inlineStr">
        <is>
          <t>Drop 'promotions' unless you plan them; keep 'announcements' (banner to be built).</t>
        </is>
      </c>
      <c r="E57" s="11" t="inlineStr">
        <is>
          <t>Paper edit</t>
        </is>
      </c>
      <c r="F57" s="11" t="inlineStr">
        <is>
          <t>S</t>
        </is>
      </c>
      <c r="G57" s="11" t="inlineStr">
        <is>
          <t>Med</t>
        </is>
      </c>
      <c r="H57" s="11" t="inlineStr">
        <is>
          <t>See Contradictions / Paper Edits</t>
        </is>
      </c>
      <c r="I57" s="12" t="inlineStr">
        <is>
          <t>REMOVES / narrows - see Removals (Letter)</t>
        </is>
      </c>
      <c r="J57" s="11" t="inlineStr"/>
      <c r="K57" s="11" t="inlineStr">
        <is>
          <t>Open</t>
        </is>
      </c>
    </row>
    <row r="58">
      <c r="A58" s="11" t="n">
        <v>57</v>
      </c>
      <c r="B58" s="11" t="inlineStr">
        <is>
          <t>Paper</t>
        </is>
      </c>
      <c r="C58" s="11" t="inlineStr">
        <is>
          <t>REQ031 p.50</t>
        </is>
      </c>
      <c r="D58" s="11" t="inlineStr">
        <is>
          <t>Replace status list with: Pending Verification, Payment Confirmed, Dispatched / Ready for Pick-up, Delivered, Received / Picked Up, On Hold (with type), Closed (Unresolved).</t>
        </is>
      </c>
      <c r="E58" s="11" t="inlineStr">
        <is>
          <t>Paper edit</t>
        </is>
      </c>
      <c r="F58" s="11" t="inlineStr">
        <is>
          <t>S</t>
        </is>
      </c>
      <c r="G58" s="11" t="inlineStr">
        <is>
          <t>Med</t>
        </is>
      </c>
      <c r="H58" s="11" t="inlineStr">
        <is>
          <t>See Contradictions / Paper Edits</t>
        </is>
      </c>
      <c r="I58" s="12" t="inlineStr">
        <is>
          <t>REMOVES / narrows - see Removals (Letter)</t>
        </is>
      </c>
      <c r="J58" s="11" t="inlineStr"/>
      <c r="K58" s="11" t="inlineStr">
        <is>
          <t>Open</t>
        </is>
      </c>
    </row>
    <row r="59">
      <c r="A59" s="11" t="n">
        <v>58</v>
      </c>
      <c r="B59" s="11" t="inlineStr">
        <is>
          <t>Paper</t>
        </is>
      </c>
      <c r="C59" s="11" t="inlineStr">
        <is>
          <t>REQ073 p.55</t>
        </is>
      </c>
      <c r="D59" s="11" t="inlineStr">
        <is>
          <t>Add 'and the stated reason' (client requirement, Interview 2) - after the reason field is built.</t>
        </is>
      </c>
      <c r="E59" s="11" t="inlineStr">
        <is>
          <t>Paper edit</t>
        </is>
      </c>
      <c r="F59" s="11" t="inlineStr">
        <is>
          <t>S</t>
        </is>
      </c>
      <c r="G59" s="11" t="inlineStr">
        <is>
          <t>Med</t>
        </is>
      </c>
      <c r="H59" s="11" t="inlineStr">
        <is>
          <t>See Contradictions / Paper Edits</t>
        </is>
      </c>
      <c r="I59" s="11" t="inlineStr">
        <is>
          <t>Corrects / rewords</t>
        </is>
      </c>
      <c r="J59" s="11" t="inlineStr"/>
      <c r="K59" s="11" t="inlineStr">
        <is>
          <t>Open</t>
        </is>
      </c>
    </row>
    <row r="60">
      <c r="A60" s="11" t="n">
        <v>59</v>
      </c>
      <c r="B60" s="11" t="inlineStr">
        <is>
          <t>Paper</t>
        </is>
      </c>
      <c r="C60" s="11" t="inlineStr">
        <is>
          <t>REQ083 p.56; Fig 2.6 text p.73; Fig 2.14 text p.89</t>
        </is>
      </c>
      <c r="D60" s="11" t="inlineStr">
        <is>
          <t>Void applies to completed transactions, referencing the original receipt number (C4).</t>
        </is>
      </c>
      <c r="E60" s="11" t="inlineStr">
        <is>
          <t>Paper edit</t>
        </is>
      </c>
      <c r="F60" s="11" t="inlineStr">
        <is>
          <t>S</t>
        </is>
      </c>
      <c r="G60" s="11" t="inlineStr">
        <is>
          <t>Med</t>
        </is>
      </c>
      <c r="H60" s="11" t="inlineStr">
        <is>
          <t>See Contradictions / Paper Edits</t>
        </is>
      </c>
      <c r="I60" s="11" t="inlineStr">
        <is>
          <t>Corrects / rewords</t>
        </is>
      </c>
      <c r="J60" s="11" t="inlineStr"/>
      <c r="K60" s="11" t="inlineStr">
        <is>
          <t>Open</t>
        </is>
      </c>
    </row>
    <row r="61">
      <c r="A61" s="11" t="n">
        <v>60</v>
      </c>
      <c r="B61" s="11" t="inlineStr">
        <is>
          <t>Paper</t>
        </is>
      </c>
      <c r="C61" s="11" t="inlineStr">
        <is>
          <t>REQ085, REQ087 p.57; Modules p.44</t>
        </is>
      </c>
      <c r="D61" s="11" t="inlineStr">
        <is>
          <t>Default wholesale price per product, adjustable per order (C9).</t>
        </is>
      </c>
      <c r="E61" s="11" t="inlineStr">
        <is>
          <t>Paper edit</t>
        </is>
      </c>
      <c r="F61" s="11" t="inlineStr">
        <is>
          <t>S</t>
        </is>
      </c>
      <c r="G61" s="11" t="inlineStr">
        <is>
          <t>Med</t>
        </is>
      </c>
      <c r="H61" s="11" t="inlineStr">
        <is>
          <t>See Contradictions / Paper Edits</t>
        </is>
      </c>
      <c r="I61" s="12" t="inlineStr">
        <is>
          <t>REMOVES / narrows - see Removals (Letter)</t>
        </is>
      </c>
      <c r="J61" s="11" t="inlineStr"/>
      <c r="K61" s="11" t="inlineStr">
        <is>
          <t>Open</t>
        </is>
      </c>
    </row>
    <row r="62">
      <c r="A62" s="11" t="n">
        <v>61</v>
      </c>
      <c r="B62" s="11" t="inlineStr">
        <is>
          <t>Paper</t>
        </is>
      </c>
      <c r="C62" s="11" t="inlineStr">
        <is>
          <t>REQ095, REQ098 p.58-59; Fig 2.6 text p.74; Fig 2.11 text p.83</t>
        </is>
      </c>
      <c r="D62" s="11" t="inlineStr">
        <is>
          <t>Overpayment is approved and the excess is added to the customer's store credit; three hold types plus overpayment-approval (C2).</t>
        </is>
      </c>
      <c r="E62" s="11" t="inlineStr">
        <is>
          <t>Paper edit</t>
        </is>
      </c>
      <c r="F62" s="11" t="inlineStr">
        <is>
          <t>S</t>
        </is>
      </c>
      <c r="G62" s="11" t="inlineStr">
        <is>
          <t>Med</t>
        </is>
      </c>
      <c r="H62" s="11" t="inlineStr">
        <is>
          <t>See Contradictions / Paper Edits</t>
        </is>
      </c>
      <c r="I62" s="12" t="inlineStr">
        <is>
          <t>REMOVES / narrows - see Removals (Letter)</t>
        </is>
      </c>
      <c r="J62" s="11" t="inlineStr"/>
      <c r="K62" s="11" t="inlineStr">
        <is>
          <t>Open</t>
        </is>
      </c>
    </row>
    <row r="63">
      <c r="A63" s="11" t="n">
        <v>62</v>
      </c>
      <c r="B63" s="11" t="inlineStr">
        <is>
          <t>Paper</t>
        </is>
      </c>
      <c r="C63" s="11" t="inlineStr">
        <is>
          <t>REQ105 p.60; Fig 2.4 text p.71; Modules p.39-40</t>
        </is>
      </c>
      <c r="D63" s="11" t="inlineStr">
        <is>
          <t>Delivered is set by staff (or automatically after 3 days); the customer's confirmation marks it Received (C1).</t>
        </is>
      </c>
      <c r="E63" s="11" t="inlineStr">
        <is>
          <t>Paper edit</t>
        </is>
      </c>
      <c r="F63" s="11" t="inlineStr">
        <is>
          <t>S</t>
        </is>
      </c>
      <c r="G63" s="11" t="inlineStr">
        <is>
          <t>Med</t>
        </is>
      </c>
      <c r="H63" s="11" t="inlineStr">
        <is>
          <t>See Contradictions / Paper Edits</t>
        </is>
      </c>
      <c r="I63" s="11" t="inlineStr">
        <is>
          <t>Corrects / rewords</t>
        </is>
      </c>
      <c r="J63" s="11" t="inlineStr"/>
      <c r="K63" s="11" t="inlineStr">
        <is>
          <t>Open</t>
        </is>
      </c>
    </row>
    <row r="64">
      <c r="A64" s="11" t="n">
        <v>63</v>
      </c>
      <c r="B64" s="11" t="inlineStr">
        <is>
          <t>Paper</t>
        </is>
      </c>
      <c r="C64" s="11" t="inlineStr">
        <is>
          <t>REQ121 p.61</t>
        </is>
      </c>
      <c r="D64" s="11" t="inlineStr">
        <is>
          <t>Only if you keep Sales Staff access to Walk-in Orders history: add it to REQ121.</t>
        </is>
      </c>
      <c r="E64" s="11" t="inlineStr">
        <is>
          <t>Paper edit</t>
        </is>
      </c>
      <c r="F64" s="11" t="inlineStr">
        <is>
          <t>S</t>
        </is>
      </c>
      <c r="G64" s="11" t="inlineStr">
        <is>
          <t>Med</t>
        </is>
      </c>
      <c r="H64" s="11" t="inlineStr">
        <is>
          <t>See Contradictions / Paper Edits</t>
        </is>
      </c>
      <c r="I64" s="11" t="inlineStr">
        <is>
          <t>Corrects / rewords</t>
        </is>
      </c>
      <c r="J64" s="11" t="inlineStr"/>
      <c r="K64" s="11" t="inlineStr">
        <is>
          <t>Open</t>
        </is>
      </c>
    </row>
    <row r="65">
      <c r="A65" s="11" t="n">
        <v>64</v>
      </c>
      <c r="B65" s="11" t="inlineStr">
        <is>
          <t>Paper</t>
        </is>
      </c>
      <c r="C65" s="11" t="inlineStr">
        <is>
          <t>Fig 2.2 text p.67</t>
        </is>
      </c>
      <c r="D65" s="11" t="inlineStr">
        <is>
          <t>Audit log is available to Technical Staff and Branch Manager (C6).</t>
        </is>
      </c>
      <c r="E65" s="11" t="inlineStr">
        <is>
          <t>Paper edit</t>
        </is>
      </c>
      <c r="F65" s="11" t="inlineStr">
        <is>
          <t>S</t>
        </is>
      </c>
      <c r="G65" s="11" t="inlineStr">
        <is>
          <t>Med</t>
        </is>
      </c>
      <c r="H65" s="11" t="inlineStr">
        <is>
          <t>See Contradictions / Paper Edits</t>
        </is>
      </c>
      <c r="I65" s="11" t="inlineStr">
        <is>
          <t>Corrects / rewords</t>
        </is>
      </c>
      <c r="J65" s="11" t="inlineStr"/>
      <c r="K65" s="11" t="inlineStr">
        <is>
          <t>Open</t>
        </is>
      </c>
    </row>
    <row r="66">
      <c r="A66" s="11" t="n">
        <v>65</v>
      </c>
      <c r="B66" s="11" t="inlineStr">
        <is>
          <t>Paper</t>
        </is>
      </c>
      <c r="C66" s="11" t="inlineStr">
        <is>
          <t>Fig 2.2 diagram</t>
        </is>
      </c>
      <c r="D66" s="11" t="inlineStr">
        <is>
          <t>Connect 'Manage Live Chat' to Technical Staff; add missing bubbles or label as summary (C11); one name for the pre-order use case (C12).</t>
        </is>
      </c>
      <c r="E66" s="11" t="inlineStr">
        <is>
          <t>Paper edit</t>
        </is>
      </c>
      <c r="F66" s="11" t="inlineStr">
        <is>
          <t>S</t>
        </is>
      </c>
      <c r="G66" s="11" t="inlineStr">
        <is>
          <t>Med</t>
        </is>
      </c>
      <c r="H66" s="11" t="inlineStr">
        <is>
          <t>See Contradictions / Paper Edits</t>
        </is>
      </c>
      <c r="I66" s="11" t="inlineStr">
        <is>
          <t>Corrects / rewords</t>
        </is>
      </c>
      <c r="J66" s="11" t="inlineStr"/>
      <c r="K66" s="11" t="inlineStr">
        <is>
          <t>Open</t>
        </is>
      </c>
    </row>
    <row r="67">
      <c r="A67" s="11" t="n">
        <v>66</v>
      </c>
      <c r="B67" s="11" t="inlineStr">
        <is>
          <t>Paper</t>
        </is>
      </c>
      <c r="C67" s="11" t="inlineStr">
        <is>
          <t>Fig 2.5 text p.72</t>
        </is>
      </c>
      <c r="D67" s="11" t="inlineStr">
        <is>
          <t>Technical Staff opens/counts; Branch Manager finalizes (C5).</t>
        </is>
      </c>
      <c r="E67" s="11" t="inlineStr">
        <is>
          <t>Paper edit</t>
        </is>
      </c>
      <c r="F67" s="11" t="inlineStr">
        <is>
          <t>S</t>
        </is>
      </c>
      <c r="G67" s="11" t="inlineStr">
        <is>
          <t>Med</t>
        </is>
      </c>
      <c r="H67" s="11" t="inlineStr">
        <is>
          <t>See Contradictions / Paper Edits</t>
        </is>
      </c>
      <c r="I67" s="11" t="inlineStr">
        <is>
          <t>Corrects / rewords</t>
        </is>
      </c>
      <c r="J67" s="11" t="inlineStr"/>
      <c r="K67" s="11" t="inlineStr">
        <is>
          <t>Open</t>
        </is>
      </c>
    </row>
    <row r="68">
      <c r="A68" s="11" t="n">
        <v>67</v>
      </c>
      <c r="B68" s="11" t="inlineStr">
        <is>
          <t>Paper</t>
        </is>
      </c>
      <c r="C68" s="11" t="inlineStr">
        <is>
          <t>Fig 2.2 / 2.7 diagrams</t>
        </is>
      </c>
      <c r="D68" s="11" t="inlineStr">
        <is>
          <t>Overpayment, free-of-cost distribution: no bubble anywhere; add 'Record Free-of-Cost Distribution' under Manage Wholesale Accounts if REQ091 stays.</t>
        </is>
      </c>
      <c r="E68" s="11" t="inlineStr">
        <is>
          <t>Paper edit</t>
        </is>
      </c>
      <c r="F68" s="11" t="inlineStr">
        <is>
          <t>S</t>
        </is>
      </c>
      <c r="G68" s="11" t="inlineStr">
        <is>
          <t>Med</t>
        </is>
      </c>
      <c r="H68" s="11" t="inlineStr">
        <is>
          <t>See Contradictions / Paper Edits</t>
        </is>
      </c>
      <c r="I68" s="11" t="inlineStr">
        <is>
          <t>Corrects / rewords</t>
        </is>
      </c>
      <c r="J68" s="11" t="inlineStr"/>
      <c r="K68" s="11" t="inlineStr">
        <is>
          <t>Open</t>
        </is>
      </c>
    </row>
    <row r="69">
      <c r="A69" s="11" t="n">
        <v>68</v>
      </c>
      <c r="B69" s="11" t="inlineStr">
        <is>
          <t>Paper</t>
        </is>
      </c>
      <c r="C69" s="11" t="inlineStr">
        <is>
          <t>Fig 2.8 diagram + text p.76-77</t>
        </is>
      </c>
      <c r="D69" s="11" t="inlineStr">
        <is>
          <t>Add reCAPTCHA, locked-account check, deactivated-account check, unverified-email redirect; make the wrong-OTP path match the text (C13).</t>
        </is>
      </c>
      <c r="E69" s="11" t="inlineStr">
        <is>
          <t>Paper edit</t>
        </is>
      </c>
      <c r="F69" s="11" t="inlineStr">
        <is>
          <t>S</t>
        </is>
      </c>
      <c r="G69" s="11" t="inlineStr">
        <is>
          <t>Med</t>
        </is>
      </c>
      <c r="H69" s="11" t="inlineStr">
        <is>
          <t>See Contradictions / Paper Edits</t>
        </is>
      </c>
      <c r="I69" s="11" t="inlineStr">
        <is>
          <t>Corrects / rewords</t>
        </is>
      </c>
      <c r="J69" s="11" t="inlineStr"/>
      <c r="K69" s="11" t="inlineStr">
        <is>
          <t>Open</t>
        </is>
      </c>
    </row>
    <row r="70">
      <c r="A70" s="11" t="n">
        <v>69</v>
      </c>
      <c r="B70" s="11" t="inlineStr">
        <is>
          <t>Paper</t>
        </is>
      </c>
      <c r="C70" s="11" t="inlineStr">
        <is>
          <t>Fig 2.9 diagram + text p.78-79</t>
        </is>
      </c>
      <c r="D70" s="11" t="inlineStr">
        <is>
          <t>Terms accepted before submit, duplicate email caught at account creation (C14); add Resend Code; end at the shop, signed in (C10).</t>
        </is>
      </c>
      <c r="E70" s="11" t="inlineStr">
        <is>
          <t>Paper edit</t>
        </is>
      </c>
      <c r="F70" s="11" t="inlineStr">
        <is>
          <t>S</t>
        </is>
      </c>
      <c r="G70" s="11" t="inlineStr">
        <is>
          <t>Med</t>
        </is>
      </c>
      <c r="H70" s="11" t="inlineStr">
        <is>
          <t>See Contradictions / Paper Edits</t>
        </is>
      </c>
      <c r="I70" s="11" t="inlineStr">
        <is>
          <t>Corrects / rewords</t>
        </is>
      </c>
      <c r="J70" s="11" t="inlineStr"/>
      <c r="K70" s="11" t="inlineStr">
        <is>
          <t>Open</t>
        </is>
      </c>
    </row>
    <row r="71">
      <c r="A71" s="11" t="n">
        <v>70</v>
      </c>
      <c r="B71" s="11" t="inlineStr">
        <is>
          <t>Paper</t>
        </is>
      </c>
      <c r="C71" s="11" t="inlineStr">
        <is>
          <t>Fig 2.10 diagram</t>
        </is>
      </c>
      <c r="D71" s="11" t="inlineStr">
        <is>
          <t>Move the RX decision to the start of checkout; RX skips the address; add Upload Prescription Photo (C15); optionally add delivery schedule and store credit.</t>
        </is>
      </c>
      <c r="E71" s="11" t="inlineStr">
        <is>
          <t>Paper edit</t>
        </is>
      </c>
      <c r="F71" s="11" t="inlineStr">
        <is>
          <t>S</t>
        </is>
      </c>
      <c r="G71" s="11" t="inlineStr">
        <is>
          <t>Med</t>
        </is>
      </c>
      <c r="H71" s="11" t="inlineStr">
        <is>
          <t>See Contradictions / Paper Edits</t>
        </is>
      </c>
      <c r="I71" s="11" t="inlineStr">
        <is>
          <t>Corrects / rewords</t>
        </is>
      </c>
      <c r="J71" s="11" t="inlineStr"/>
      <c r="K71" s="11" t="inlineStr">
        <is>
          <t>Open</t>
        </is>
      </c>
    </row>
    <row r="72">
      <c r="A72" s="11" t="n">
        <v>71</v>
      </c>
      <c r="B72" s="11" t="inlineStr">
        <is>
          <t>Paper</t>
        </is>
      </c>
      <c r="C72" s="11" t="inlineStr">
        <is>
          <t>Fig 2.11 diagram + text p.82-83</t>
        </is>
      </c>
      <c r="D72"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c r="E72" s="11" t="inlineStr">
        <is>
          <t>Paper edit</t>
        </is>
      </c>
      <c r="F72" s="11" t="inlineStr">
        <is>
          <t>S</t>
        </is>
      </c>
      <c r="G72" s="11" t="inlineStr">
        <is>
          <t>Med</t>
        </is>
      </c>
      <c r="H72" s="11" t="inlineStr">
        <is>
          <t>See Contradictions / Paper Edits</t>
        </is>
      </c>
      <c r="I72" s="11" t="inlineStr">
        <is>
          <t>Corrects / rewords</t>
        </is>
      </c>
      <c r="J72" s="11" t="inlineStr"/>
      <c r="K72" s="11" t="inlineStr">
        <is>
          <t>Open</t>
        </is>
      </c>
    </row>
    <row r="73">
      <c r="A73" s="11" t="n">
        <v>72</v>
      </c>
      <c r="B73" s="11" t="inlineStr">
        <is>
          <t>Paper</t>
        </is>
      </c>
      <c r="C73" s="11" t="inlineStr">
        <is>
          <t>Title page / cover (i)</t>
        </is>
      </c>
      <c r="D73" s="11" t="inlineStr">
        <is>
          <t>Still labelled 'Capstone Project Proposal' dated May 16, 2026; update the label and date for the final manuscript.</t>
        </is>
      </c>
      <c r="E73" s="11" t="inlineStr">
        <is>
          <t>Manuscript pass</t>
        </is>
      </c>
      <c r="F73" s="11" t="inlineStr">
        <is>
          <t>S</t>
        </is>
      </c>
      <c r="G73" s="11" t="inlineStr">
        <is>
          <t>Med</t>
        </is>
      </c>
      <c r="H73" s="11" t="inlineStr"/>
      <c r="I73" s="11" t="inlineStr">
        <is>
          <t>Corrects / rewords</t>
        </is>
      </c>
      <c r="J73" s="11" t="inlineStr"/>
      <c r="K73" s="11" t="inlineStr">
        <is>
          <t>Open</t>
        </is>
      </c>
    </row>
    <row r="74">
      <c r="A74" s="11" t="n">
        <v>73</v>
      </c>
      <c r="B74" s="11" t="inlineStr">
        <is>
          <t>Paper</t>
        </is>
      </c>
      <c r="C74" s="11" t="inlineStr">
        <is>
          <t>Whole paper (-)</t>
        </is>
      </c>
      <c r="D74" s="11" t="inlineStr">
        <is>
          <t>About 100 'will ...' sentences are written as a proposal. Ask the adviser whether the final manuscript should switch to past/present tense, then convert.</t>
        </is>
      </c>
      <c r="E74" s="11" t="inlineStr">
        <is>
          <t>Manuscript pass</t>
        </is>
      </c>
      <c r="F74" s="11" t="inlineStr">
        <is>
          <t>M</t>
        </is>
      </c>
      <c r="G74" s="11" t="inlineStr">
        <is>
          <t>Med</t>
        </is>
      </c>
      <c r="H74" s="11" t="inlineStr"/>
      <c r="I74" s="11" t="inlineStr">
        <is>
          <t>Corrects / rewords</t>
        </is>
      </c>
      <c r="J74" s="11" t="inlineStr"/>
      <c r="K74" s="11" t="inlineStr">
        <is>
          <t>Open</t>
        </is>
      </c>
    </row>
    <row r="75">
      <c r="A75" s="11" t="n">
        <v>74</v>
      </c>
      <c r="B75" s="11" t="inlineStr">
        <is>
          <t>Paper</t>
        </is>
      </c>
      <c r="C75" s="11" t="inlineStr">
        <is>
          <t>Comparative Analysis (p.18)</t>
        </is>
      </c>
      <c r="D75" s="11" t="inlineStr">
        <is>
          <t>The three compared systems are named but not cited in that section: J1TEK = Binag et al. (2024), Online Transporter = Llorente et al. (2022), Bandung FEFO = Malasari &amp; Sudrajat (2023). Binag and Llorente are in the reference list but cited nowhere in the text.</t>
        </is>
      </c>
      <c r="E75" s="11" t="inlineStr">
        <is>
          <t>Manuscript pass</t>
        </is>
      </c>
      <c r="F75" s="11" t="inlineStr">
        <is>
          <t>S</t>
        </is>
      </c>
      <c r="G75" s="11" t="inlineStr">
        <is>
          <t>Med</t>
        </is>
      </c>
      <c r="H75" s="11" t="inlineStr"/>
      <c r="I75" s="11" t="inlineStr">
        <is>
          <t>Corrects / rewords</t>
        </is>
      </c>
      <c r="J75" s="11" t="inlineStr"/>
      <c r="K75" s="11" t="inlineStr">
        <is>
          <t>Open</t>
        </is>
      </c>
    </row>
    <row r="76">
      <c r="A76" s="11" t="n">
        <v>75</v>
      </c>
      <c r="B76" s="11" t="inlineStr">
        <is>
          <t>Paper</t>
        </is>
      </c>
      <c r="C76" s="11" t="inlineStr">
        <is>
          <t>Conceptual Framework (Input) (p.25)</t>
        </is>
      </c>
      <c r="D76" s="11" t="inlineStr">
        <is>
          <t>Says wholesale buyers' info is captured during account registration and that wholesale purchase orders are submitted through the platform. Wholesale buyers don't register or order online; staff record them.</t>
        </is>
      </c>
      <c r="E76" s="11" t="inlineStr">
        <is>
          <t>Manuscript pass</t>
        </is>
      </c>
      <c r="F76" s="11" t="inlineStr">
        <is>
          <t>S</t>
        </is>
      </c>
      <c r="G76" s="11" t="inlineStr">
        <is>
          <t>Med</t>
        </is>
      </c>
      <c r="H76" s="11" t="inlineStr"/>
      <c r="I76" s="12" t="inlineStr">
        <is>
          <t>REMOVES / narrows - see Removals (Letter)</t>
        </is>
      </c>
      <c r="J76" s="11" t="inlineStr"/>
      <c r="K76" s="11" t="inlineStr">
        <is>
          <t>Open</t>
        </is>
      </c>
    </row>
    <row r="77">
      <c r="A77" s="11" t="n">
        <v>76</v>
      </c>
      <c r="B77" s="11" t="inlineStr">
        <is>
          <t>Paper</t>
        </is>
      </c>
      <c r="C77" s="11" t="inlineStr">
        <is>
          <t>Methodology: sprint plan (p.30-35)</t>
        </is>
      </c>
      <c r="D77" s="11" t="inlineStr">
        <is>
          <t>Phases promise features that aren't built (device OTP, notifications by email, thermal printing, live chat, reports). Align with final decisions.</t>
        </is>
      </c>
      <c r="E77" s="11" t="inlineStr">
        <is>
          <t>Manuscript pass</t>
        </is>
      </c>
      <c r="F77" s="11" t="inlineStr">
        <is>
          <t>S</t>
        </is>
      </c>
      <c r="G77" s="11" t="inlineStr">
        <is>
          <t>Med</t>
        </is>
      </c>
      <c r="H77" s="11" t="inlineStr"/>
      <c r="I77" s="11" t="inlineStr">
        <is>
          <t>Corrects / rewords</t>
        </is>
      </c>
      <c r="J77" s="11" t="inlineStr"/>
      <c r="K77" s="11" t="inlineStr">
        <is>
          <t>Open</t>
        </is>
      </c>
    </row>
    <row r="78">
      <c r="A78" s="11" t="n">
        <v>77</v>
      </c>
      <c r="B78" s="11" t="inlineStr">
        <is>
          <t>Paper</t>
        </is>
      </c>
      <c r="C78" s="11" t="inlineStr">
        <is>
          <t>Calendar of Activities (p.96-98)</t>
        </is>
      </c>
      <c r="D78" s="11" t="inlineStr">
        <is>
          <t>Lists a 'Fifth Interview', but the appendices only have four transcripts (J-M). Add the transcript and proof, or remove the row.</t>
        </is>
      </c>
      <c r="E78" s="11" t="inlineStr">
        <is>
          <t>Manuscript pass</t>
        </is>
      </c>
      <c r="F78" s="11" t="inlineStr">
        <is>
          <t>S</t>
        </is>
      </c>
      <c r="G78" s="11" t="inlineStr">
        <is>
          <t>Med</t>
        </is>
      </c>
      <c r="H78" s="11" t="inlineStr"/>
      <c r="I78" s="11" t="inlineStr">
        <is>
          <t>Corrects / rewords</t>
        </is>
      </c>
      <c r="J78" s="11" t="inlineStr"/>
      <c r="K78" s="11" t="inlineStr">
        <is>
          <t>Open</t>
        </is>
      </c>
    </row>
    <row r="79">
      <c r="A79" s="11" t="n">
        <v>78</v>
      </c>
      <c r="B79" s="11" t="inlineStr">
        <is>
          <t>Paper</t>
        </is>
      </c>
      <c r="C79" s="11" t="inlineStr">
        <is>
          <t>Calendar of Activities (p.96-98)</t>
        </is>
      </c>
      <c r="D79" s="11" t="inlineStr">
        <is>
          <t>Month header has no year. Update the bars to actual dates. The webapp branch history starts 2026-08-31 (earlier work isn't in this git history), so the team needs to fill earlier dates.</t>
        </is>
      </c>
      <c r="E79" s="11" t="inlineStr">
        <is>
          <t>Manuscript pass</t>
        </is>
      </c>
      <c r="F79" s="11" t="inlineStr">
        <is>
          <t>S</t>
        </is>
      </c>
      <c r="G79" s="11" t="inlineStr">
        <is>
          <t>Med</t>
        </is>
      </c>
      <c r="H79" s="11" t="inlineStr"/>
      <c r="I79" s="11" t="inlineStr">
        <is>
          <t>Corrects / rewords</t>
        </is>
      </c>
      <c r="J79" s="11" t="inlineStr"/>
      <c r="K79" s="11" t="inlineStr">
        <is>
          <t>Open</t>
        </is>
      </c>
    </row>
    <row r="80">
      <c r="A80" s="11" t="n">
        <v>79</v>
      </c>
      <c r="B80" s="11" t="inlineStr">
        <is>
          <t>System</t>
        </is>
      </c>
      <c r="C80" s="11" t="inlineStr">
        <is>
          <t>REQ088</t>
        </is>
      </c>
      <c r="D80" s="11" t="inlineStr">
        <is>
          <t>Hide costing/wholesale prices from public reads</t>
        </is>
      </c>
      <c r="E80" s="11" t="inlineStr">
        <is>
          <t>Partial</t>
        </is>
      </c>
      <c r="F80" s="11" t="inlineStr">
        <is>
          <t>M</t>
        </is>
      </c>
      <c r="G80" s="11" t="inlineStr">
        <is>
          <t>Low</t>
        </is>
      </c>
      <c r="H80" s="11" t="inlineStr">
        <is>
          <t>DECIDED (revised): build it to avoid a removal letter.</t>
        </is>
      </c>
      <c r="I80" s="11" t="inlineStr">
        <is>
          <t>None</t>
        </is>
      </c>
      <c r="J80" s="11" t="inlineStr"/>
      <c r="K80" s="11" t="inlineStr">
        <is>
          <t>Open</t>
        </is>
      </c>
    </row>
    <row r="81">
      <c r="A81" s="11" t="n">
        <v>80</v>
      </c>
      <c r="B81" s="11" t="inlineStr">
        <is>
          <t>System</t>
        </is>
      </c>
      <c r="C81" s="11" t="inlineStr">
        <is>
          <t>Interview 1</t>
        </is>
      </c>
      <c r="D81" s="11" t="inlineStr">
        <is>
          <t>Park/hold a walk-in sale ('keep') while serving the next customer</t>
        </is>
      </c>
      <c r="E81" s="11" t="inlineStr">
        <is>
          <t>Missing</t>
        </is>
      </c>
      <c r="F81" s="11" t="inlineStr">
        <is>
          <t>M</t>
        </is>
      </c>
      <c r="G81" s="11" t="inlineStr">
        <is>
          <t>Low</t>
        </is>
      </c>
      <c r="H81" s="11" t="inlineStr">
        <is>
          <t>DECIDED: future work. Client's current POS practice; not in the paper.</t>
        </is>
      </c>
      <c r="I81" s="11" t="inlineStr">
        <is>
          <t>None (not in paper)</t>
        </is>
      </c>
      <c r="J81" s="11" t="inlineStr"/>
      <c r="K81" s="11" t="inlineStr">
        <is>
          <t>Dropped</t>
        </is>
      </c>
    </row>
    <row r="82">
      <c r="A82" s="11" t="n">
        <v>81</v>
      </c>
      <c r="B82" s="11" t="inlineStr">
        <is>
          <t>System</t>
        </is>
      </c>
      <c r="C82" s="11" t="inlineStr">
        <is>
          <t>Report Formats sheet (CREDIT terms)</t>
        </is>
      </c>
      <c r="D82" s="11" t="inlineStr">
        <is>
          <t>Credit sales follow-up (who owes what, mark as paid)</t>
        </is>
      </c>
      <c r="E82" s="11" t="inlineStr">
        <is>
          <t>Missing</t>
        </is>
      </c>
      <c r="F82" s="11" t="inlineStr">
        <is>
          <t>M</t>
        </is>
      </c>
      <c r="G82" s="11" t="inlineStr">
        <is>
          <t>Low</t>
        </is>
      </c>
      <c r="H82" s="11" t="inlineStr">
        <is>
          <t>DECIDED: future work. Not in the paper; ask the client if the main office tracks collections instead.</t>
        </is>
      </c>
      <c r="I82" s="11" t="inlineStr">
        <is>
          <t>None (not in paper)</t>
        </is>
      </c>
      <c r="J82" s="11" t="inlineStr"/>
      <c r="K82" s="11" t="inlineStr">
        <is>
          <t>Dropped</t>
        </is>
      </c>
    </row>
    <row r="83">
      <c r="A83" s="11" t="n">
        <v>82</v>
      </c>
      <c r="B83" s="11" t="inlineStr">
        <is>
          <t>System</t>
        </is>
      </c>
      <c r="C83" s="11" t="inlineStr">
        <is>
          <t>Report Formats sheet (daily Sales section)</t>
        </is>
      </c>
      <c r="D83" s="11" t="inlineStr">
        <is>
          <t>Pay-in / pay-out (cash drawer in and out) recorded per day</t>
        </is>
      </c>
      <c r="E83" s="11" t="inlineStr">
        <is>
          <t>Missing</t>
        </is>
      </c>
      <c r="F83" s="11" t="inlineStr">
        <is>
          <t>S</t>
        </is>
      </c>
      <c r="G83" s="11" t="inlineStr">
        <is>
          <t>Low</t>
        </is>
      </c>
      <c r="H83" s="11" t="inlineStr">
        <is>
          <t>DECIDED: future work. Both were 0.00 on the sample day; ask if it's used.</t>
        </is>
      </c>
      <c r="I83" s="11" t="inlineStr">
        <is>
          <t>None (not in paper)</t>
        </is>
      </c>
      <c r="J83" s="11" t="inlineStr"/>
      <c r="K83" s="11" t="inlineStr">
        <is>
          <t>Dropped</t>
        </is>
      </c>
    </row>
    <row r="84">
      <c r="A84" s="11" t="n">
        <v>83</v>
      </c>
      <c r="B84" s="11" t="inlineStr">
        <is>
          <t>Decision</t>
        </is>
      </c>
      <c r="C84" s="11" t="inlineStr">
        <is>
          <t>Technical Background (p.35)</t>
        </is>
      </c>
      <c r="D84" s="11" t="inlineStr">
        <is>
          <t>States the AI assistant won't give medical advice: keep only if chat is built.</t>
        </is>
      </c>
      <c r="E84" s="11" t="inlineStr">
        <is>
          <t>Manuscript pass</t>
        </is>
      </c>
      <c r="F84" s="11" t="inlineStr">
        <is>
          <t>S</t>
        </is>
      </c>
      <c r="G84" s="11" t="inlineStr">
        <is>
          <t>Low</t>
        </is>
      </c>
      <c r="H84" s="11" t="inlineStr"/>
      <c r="I84" s="11" t="inlineStr">
        <is>
          <t>None</t>
        </is>
      </c>
      <c r="J84" s="11" t="inlineStr"/>
      <c r="K84" s="11" t="inlineStr">
        <is>
          <t>Open</t>
        </is>
      </c>
    </row>
    <row r="85">
      <c r="A85" s="11" t="n">
        <v>84</v>
      </c>
      <c r="B85" s="11" t="inlineStr">
        <is>
          <t>System</t>
        </is>
      </c>
      <c r="C85" s="11" t="inlineStr">
        <is>
          <t>REQ013, REQ068</t>
        </is>
      </c>
      <c r="D85" s="11" t="inlineStr">
        <is>
          <t>Dosage/usage notes field on products</t>
        </is>
      </c>
      <c r="E85" s="11" t="inlineStr">
        <is>
          <t>Missing</t>
        </is>
      </c>
      <c r="F85" s="11" t="inlineStr">
        <is>
          <t>S</t>
        </is>
      </c>
      <c r="G85" s="11" t="inlineStr">
        <is>
          <t>Low</t>
        </is>
      </c>
      <c r="H85" s="11" t="inlineStr">
        <is>
          <t>DONE 06574da.</t>
        </is>
      </c>
      <c r="I85" s="11" t="inlineStr">
        <is>
          <t>None</t>
        </is>
      </c>
      <c r="J85" s="11" t="inlineStr"/>
      <c r="K85" s="11" t="inlineStr">
        <is>
          <t>Done</t>
        </is>
      </c>
    </row>
    <row r="86">
      <c r="A86" s="11" t="n">
        <v>85</v>
      </c>
      <c r="B86" s="11" t="inlineStr">
        <is>
          <t>System</t>
        </is>
      </c>
      <c r="C86" s="11" t="inlineStr">
        <is>
          <t>REQ049</t>
        </is>
      </c>
      <c r="D86" s="11" t="inlineStr">
        <is>
          <t>Supplier column in the inventory batch table</t>
        </is>
      </c>
      <c r="E86" s="11" t="inlineStr">
        <is>
          <t>Partial</t>
        </is>
      </c>
      <c r="F86" s="11" t="inlineStr">
        <is>
          <t>S</t>
        </is>
      </c>
      <c r="G86" s="11" t="inlineStr">
        <is>
          <t>Low</t>
        </is>
      </c>
      <c r="H86" s="11" t="inlineStr">
        <is>
          <t>DONE 06574da.</t>
        </is>
      </c>
      <c r="I86" s="11" t="inlineStr">
        <is>
          <t>None</t>
        </is>
      </c>
      <c r="J86" s="11" t="inlineStr"/>
      <c r="K86" s="11" t="inlineStr">
        <is>
          <t>Done</t>
        </is>
      </c>
    </row>
    <row r="87">
      <c r="A87" s="11" t="n">
        <v>86</v>
      </c>
      <c r="B87" s="11" t="inlineStr">
        <is>
          <t>System</t>
        </is>
      </c>
      <c r="C87" s="11" t="inlineStr">
        <is>
          <t>REQ103, REQ107</t>
        </is>
      </c>
      <c r="D87" s="11" t="inlineStr">
        <is>
          <t>Delivery: 'copy all' including preferred schedule + order no.; internal delivery notes</t>
        </is>
      </c>
      <c r="E87" s="11" t="inlineStr">
        <is>
          <t>Partial</t>
        </is>
      </c>
      <c r="F87" s="11" t="inlineStr">
        <is>
          <t>S</t>
        </is>
      </c>
      <c r="G87" s="11" t="inlineStr">
        <is>
          <t>Low</t>
        </is>
      </c>
      <c r="H87" s="11" t="inlineStr">
        <is>
          <t>DONE 06574da. Use the notes for rider name/plate/number, which staff currently screenshot privately (Interviews 2-3).</t>
        </is>
      </c>
      <c r="I87" s="11" t="inlineStr">
        <is>
          <t>None</t>
        </is>
      </c>
      <c r="J87" s="11" t="inlineStr"/>
      <c r="K87" s="11" t="inlineStr">
        <is>
          <t>Done</t>
        </is>
      </c>
    </row>
    <row r="88">
      <c r="A88" s="11" t="n">
        <v>87</v>
      </c>
      <c r="B88" s="11" t="inlineStr">
        <is>
          <t>System</t>
        </is>
      </c>
      <c r="C88" s="11" t="inlineStr">
        <is>
          <t>REQ116</t>
        </is>
      </c>
      <c r="D88" s="11" t="inlineStr">
        <is>
          <t>Customer Accounts: list of the customer's orders</t>
        </is>
      </c>
      <c r="E88" s="11" t="inlineStr">
        <is>
          <t>Partial</t>
        </is>
      </c>
      <c r="F88" s="11" t="inlineStr">
        <is>
          <t>S</t>
        </is>
      </c>
      <c r="G88" s="11" t="inlineStr">
        <is>
          <t>Low</t>
        </is>
      </c>
      <c r="H88" s="11" t="inlineStr">
        <is>
          <t>DONE 847c877.</t>
        </is>
      </c>
      <c r="I88" s="11" t="inlineStr">
        <is>
          <t>None</t>
        </is>
      </c>
      <c r="J88" s="11" t="inlineStr"/>
      <c r="K88" s="11" t="inlineStr">
        <is>
          <t>Done</t>
        </is>
      </c>
    </row>
    <row r="89">
      <c r="A89" s="11" t="n">
        <v>88</v>
      </c>
      <c r="B89" s="11" t="inlineStr">
        <is>
          <t>System</t>
        </is>
      </c>
      <c r="C89" s="11" t="inlineStr">
        <is>
          <t>REQ118</t>
        </is>
      </c>
      <c r="D89" s="11" t="inlineStr">
        <is>
          <t>Staff creation uses shared validators; stop silent Administrator -&gt; Branch Manager change</t>
        </is>
      </c>
      <c r="E89" s="11" t="inlineStr">
        <is>
          <t>Bug</t>
        </is>
      </c>
      <c r="F89" s="11" t="inlineStr">
        <is>
          <t>S</t>
        </is>
      </c>
      <c r="G89" s="11" t="inlineStr">
        <is>
          <t>Low</t>
        </is>
      </c>
      <c r="H89" s="11" t="inlineStr">
        <is>
          <t>DONE 847c877. From the first review.</t>
        </is>
      </c>
      <c r="I89" s="11" t="inlineStr">
        <is>
          <t>None</t>
        </is>
      </c>
      <c r="J89" s="11" t="inlineStr"/>
      <c r="K89" s="11" t="inlineStr">
        <is>
          <t>Done</t>
        </is>
      </c>
    </row>
    <row r="90">
      <c r="A90" s="11" t="n">
        <v>89</v>
      </c>
      <c r="B90" s="11" t="inlineStr">
        <is>
          <t>System</t>
        </is>
      </c>
      <c r="C90" s="11" t="inlineStr">
        <is>
          <t>REQ070</t>
        </is>
      </c>
      <c r="D90" s="11" t="inlineStr">
        <is>
          <t>Category rename: replace native prompt() with app dialog</t>
        </is>
      </c>
      <c r="E90" s="11" t="inlineStr">
        <is>
          <t>Polish</t>
        </is>
      </c>
      <c r="F90" s="11" t="inlineStr">
        <is>
          <t>S</t>
        </is>
      </c>
      <c r="G90" s="11" t="inlineStr">
        <is>
          <t>Low</t>
        </is>
      </c>
      <c r="H90" s="11" t="inlineStr">
        <is>
          <t>DONE category tools commit: rename uses the app dialog; deleting a category can move its products. From the first review.</t>
        </is>
      </c>
      <c r="I90" s="11" t="inlineStr">
        <is>
          <t>None</t>
        </is>
      </c>
      <c r="J90" s="11" t="inlineStr"/>
      <c r="K90" s="11" t="inlineStr">
        <is>
          <t>Done</t>
        </is>
      </c>
    </row>
    <row r="91">
      <c r="A91" s="11" t="n">
        <v>90</v>
      </c>
      <c r="B91" s="11" t="inlineStr">
        <is>
          <t>System</t>
        </is>
      </c>
      <c r="C91" s="11" t="inlineStr">
        <is>
          <t>REQ033, REQ093</t>
        </is>
      </c>
      <c r="D91" s="11" t="inlineStr">
        <is>
          <t>Receipt only after verification; show subtotal/credit applied on PDF</t>
        </is>
      </c>
      <c r="E91" s="11" t="inlineStr">
        <is>
          <t>Partial</t>
        </is>
      </c>
      <c r="F91" s="11" t="inlineStr">
        <is>
          <t>S</t>
        </is>
      </c>
      <c r="G91" s="11" t="inlineStr">
        <is>
          <t>Low</t>
        </is>
      </c>
      <c r="H91" s="11" t="inlineStr">
        <is>
          <t>DONE 082ec92. From the first review.</t>
        </is>
      </c>
      <c r="I91" s="11" t="inlineStr">
        <is>
          <t>None</t>
        </is>
      </c>
      <c r="J91" s="11" t="inlineStr"/>
      <c r="K91" s="11" t="inlineStr">
        <is>
          <t>Done</t>
        </is>
      </c>
    </row>
    <row r="92">
      <c r="A92" s="11" t="n">
        <v>91</v>
      </c>
      <c r="B92" s="11" t="inlineStr">
        <is>
          <t>System</t>
        </is>
      </c>
      <c r="C92" s="11" t="inlineStr">
        <is>
          <t>REQ099</t>
        </is>
      </c>
      <c r="D92" s="11" t="inlineStr">
        <is>
          <t>'Payment not received' as its own hold type</t>
        </is>
      </c>
      <c r="E92" s="11" t="inlineStr">
        <is>
          <t>Partial</t>
        </is>
      </c>
      <c r="F92" s="11" t="inlineStr">
        <is>
          <t>S</t>
        </is>
      </c>
      <c r="G92" s="11" t="inlineStr">
        <is>
          <t>Low</t>
        </is>
      </c>
      <c r="H92" s="11" t="inlineStr">
        <is>
          <t>DONE 847c877.</t>
        </is>
      </c>
      <c r="I92" s="11" t="inlineStr">
        <is>
          <t>None</t>
        </is>
      </c>
      <c r="J92" s="11" t="inlineStr"/>
      <c r="K92" s="11" t="inlineStr">
        <is>
          <t>Done</t>
        </is>
      </c>
    </row>
    <row r="93">
      <c r="A93" s="11" t="n">
        <v>92</v>
      </c>
      <c r="B93" s="11" t="inlineStr">
        <is>
          <t>System</t>
        </is>
      </c>
      <c r="C93" s="11" t="inlineStr">
        <is>
          <t>REQ026</t>
        </is>
      </c>
      <c r="D93" s="11" t="inlineStr">
        <is>
          <t>Checkout pick-up notice mentions bringing the original prescription</t>
        </is>
      </c>
      <c r="E93" s="11" t="inlineStr">
        <is>
          <t>Partial</t>
        </is>
      </c>
      <c r="F93" s="11" t="inlineStr">
        <is>
          <t>S</t>
        </is>
      </c>
      <c r="G93" s="11" t="inlineStr">
        <is>
          <t>Low</t>
        </is>
      </c>
      <c r="H93" s="11" t="inlineStr">
        <is>
          <t>DONE 082ec92.</t>
        </is>
      </c>
      <c r="I93" s="11" t="inlineStr">
        <is>
          <t>None</t>
        </is>
      </c>
      <c r="J93" s="11" t="inlineStr"/>
      <c r="K93" s="11" t="inlineStr">
        <is>
          <t>Done</t>
        </is>
      </c>
    </row>
    <row r="94">
      <c r="A94" s="11" t="n">
        <v>93</v>
      </c>
      <c r="B94" s="11" t="inlineStr">
        <is>
          <t>System</t>
        </is>
      </c>
      <c r="C94" s="11" t="inlineStr">
        <is>
          <t>REQ009</t>
        </is>
      </c>
      <c r="D94" s="11" t="inlineStr">
        <is>
          <t>Show quantity in stock on catalog cards</t>
        </is>
      </c>
      <c r="E94" s="11" t="inlineStr">
        <is>
          <t>Partial</t>
        </is>
      </c>
      <c r="F94" s="11" t="inlineStr">
        <is>
          <t>S</t>
        </is>
      </c>
      <c r="G94" s="11" t="inlineStr">
        <is>
          <t>Low</t>
        </is>
      </c>
      <c r="H94" s="11" t="inlineStr">
        <is>
          <t>DONE 06574da.</t>
        </is>
      </c>
      <c r="I94" s="11" t="inlineStr">
        <is>
          <t>None</t>
        </is>
      </c>
      <c r="J94" s="11" t="inlineStr"/>
      <c r="K94" s="11" t="inlineStr">
        <is>
          <t>Done</t>
        </is>
      </c>
    </row>
    <row r="95">
      <c r="A95" s="11" t="n">
        <v>94</v>
      </c>
      <c r="B95" s="11" t="inlineStr">
        <is>
          <t>System</t>
        </is>
      </c>
      <c r="C95" s="11" t="inlineStr">
        <is>
          <t>REQ040</t>
        </is>
      </c>
      <c r="D95" s="11" t="inlineStr">
        <is>
          <t>Profile picture in Account Settings</t>
        </is>
      </c>
      <c r="E95" s="11" t="inlineStr">
        <is>
          <t>Missing</t>
        </is>
      </c>
      <c r="F95" s="11" t="inlineStr">
        <is>
          <t>S</t>
        </is>
      </c>
      <c r="G95" s="11" t="inlineStr">
        <is>
          <t>Low</t>
        </is>
      </c>
      <c r="H95" s="11" t="inlineStr">
        <is>
          <t>DONE 77336f3.</t>
        </is>
      </c>
      <c r="I95" s="11" t="inlineStr">
        <is>
          <t>None</t>
        </is>
      </c>
      <c r="J95" s="11" t="inlineStr"/>
      <c r="K95" s="11" t="inlineStr">
        <is>
          <t>Done</t>
        </is>
      </c>
    </row>
    <row r="96">
      <c r="A96" s="11" t="n">
        <v>95</v>
      </c>
      <c r="B96" s="11" t="inlineStr">
        <is>
          <t>System</t>
        </is>
      </c>
      <c r="C96" s="11" t="inlineStr">
        <is>
          <t>REQNF028</t>
        </is>
      </c>
      <c r="D96" s="11" t="inlineStr">
        <is>
          <t>One date formatter (MM/DD/YYYY, 12-hour) across all screens</t>
        </is>
      </c>
      <c r="E96" s="11" t="inlineStr">
        <is>
          <t>Partial</t>
        </is>
      </c>
      <c r="F96" s="11" t="inlineStr">
        <is>
          <t>S</t>
        </is>
      </c>
      <c r="G96" s="11" t="inlineStr">
        <is>
          <t>Low</t>
        </is>
      </c>
      <c r="H96" s="11" t="inlineStr">
        <is>
          <t>DONE 847c877.</t>
        </is>
      </c>
      <c r="I96" s="11" t="inlineStr">
        <is>
          <t>None</t>
        </is>
      </c>
      <c r="J96" s="11" t="inlineStr"/>
      <c r="K96" s="11" t="inlineStr">
        <is>
          <t>Done</t>
        </is>
      </c>
    </row>
    <row r="97">
      <c r="A97" s="11" t="n">
        <v>96</v>
      </c>
      <c r="B97" s="11" t="inlineStr">
        <is>
          <t>System</t>
        </is>
      </c>
      <c r="C97" s="11" t="inlineStr">
        <is>
          <t>REQ047</t>
        </is>
      </c>
      <c r="D97" s="11" t="inlineStr">
        <is>
          <t>Dashboard 'Active Online Orders' excludes delivered/closed</t>
        </is>
      </c>
      <c r="E97" s="11" t="inlineStr">
        <is>
          <t>Bug</t>
        </is>
      </c>
      <c r="F97" s="11" t="inlineStr">
        <is>
          <t>S</t>
        </is>
      </c>
      <c r="G97" s="11" t="inlineStr">
        <is>
          <t>Low</t>
        </is>
      </c>
      <c r="H97" s="11" t="inlineStr">
        <is>
          <t>DONE d9fc96b: counts verified + dispatched only. From the first review.</t>
        </is>
      </c>
      <c r="I97" s="11" t="inlineStr">
        <is>
          <t>None</t>
        </is>
      </c>
      <c r="J97" s="11" t="inlineStr"/>
      <c r="K97" s="11" t="inlineStr">
        <is>
          <t>Done</t>
        </is>
      </c>
    </row>
    <row r="98">
      <c r="A98" s="11" t="n">
        <v>97</v>
      </c>
      <c r="B98" s="11" t="inlineStr">
        <is>
          <t>System</t>
        </is>
      </c>
      <c r="C98" s="11" t="inlineStr">
        <is>
          <t>REQNF017</t>
        </is>
      </c>
      <c r="D98" s="11" t="inlineStr">
        <is>
          <t>README with setup steps; fix the error message that points to it</t>
        </is>
      </c>
      <c r="E98" s="11" t="inlineStr">
        <is>
          <t>Missing</t>
        </is>
      </c>
      <c r="F98" s="11" t="inlineStr">
        <is>
          <t>S</t>
        </is>
      </c>
      <c r="G98" s="11" t="inlineStr">
        <is>
          <t>Low</t>
        </is>
      </c>
      <c r="H98" s="11" t="inlineStr">
        <is>
          <t>DONE 77336f3. From the first review.</t>
        </is>
      </c>
      <c r="I98" s="11" t="inlineStr">
        <is>
          <t>None</t>
        </is>
      </c>
      <c r="J98" s="11" t="inlineStr"/>
      <c r="K98" s="11" t="inlineStr">
        <is>
          <t>Done</t>
        </is>
      </c>
    </row>
    <row r="99">
      <c r="A99" s="11" t="n">
        <v>98</v>
      </c>
      <c r="B99" s="11" t="inlineStr">
        <is>
          <t>System</t>
        </is>
      </c>
      <c r="C99" s="11" t="inlineStr">
        <is>
          <t>REQ001</t>
        </is>
      </c>
      <c r="D99" s="11" t="inlineStr">
        <is>
          <t>Normalize phone number at registration</t>
        </is>
      </c>
      <c r="E99" s="11" t="inlineStr">
        <is>
          <t>Bug</t>
        </is>
      </c>
      <c r="F99" s="11" t="inlineStr">
        <is>
          <t>S</t>
        </is>
      </c>
      <c r="G99" s="11" t="inlineStr">
        <is>
          <t>Low</t>
        </is>
      </c>
      <c r="H99" s="11" t="inlineStr">
        <is>
          <t>DONE d9fc96b. From the first review.</t>
        </is>
      </c>
      <c r="I99" s="11" t="inlineStr">
        <is>
          <t>None</t>
        </is>
      </c>
      <c r="J99" s="11" t="inlineStr"/>
      <c r="K99" s="11" t="inlineStr">
        <is>
          <t>Done</t>
        </is>
      </c>
    </row>
    <row r="100">
      <c r="A100" s="11" t="n">
        <v>99</v>
      </c>
      <c r="B100" s="11" t="inlineStr">
        <is>
          <t>System</t>
        </is>
      </c>
      <c r="C100" s="11" t="inlineStr">
        <is>
          <t>REQ008; Interview 1</t>
        </is>
      </c>
      <c r="D100" s="11" t="inlineStr">
        <is>
          <t>Store announcements + promotions banner, editable by staff (e.g. closure days)</t>
        </is>
      </c>
      <c r="E100" s="11" t="inlineStr">
        <is>
          <t>Missing</t>
        </is>
      </c>
      <c r="F100" s="11" t="inlineStr">
        <is>
          <t>S</t>
        </is>
      </c>
      <c r="G100" s="11" t="inlineStr">
        <is>
          <t>Low</t>
        </is>
      </c>
      <c r="H100" s="11" t="inlineStr">
        <is>
          <t>DONE Settings -&gt; Store Announcement; shown under the header on shop pages.</t>
        </is>
      </c>
      <c r="I100" s="11" t="inlineStr">
        <is>
          <t>None</t>
        </is>
      </c>
      <c r="J100" s="11" t="inlineStr"/>
      <c r="K100" s="11" t="inlineStr">
        <is>
          <t>Done</t>
        </is>
      </c>
    </row>
    <row r="101">
      <c r="A101" s="11" t="n">
        <v>100</v>
      </c>
      <c r="B101" s="11" t="inlineStr">
        <is>
          <t>System</t>
        </is>
      </c>
      <c r="C101" s="11" t="inlineStr">
        <is>
          <t>REQ031</t>
        </is>
      </c>
      <c r="D101" s="11" t="inlineStr">
        <is>
          <t>Show invalid-payment holds to customers as 'Payment Rejected - re-upload needed'</t>
        </is>
      </c>
      <c r="E101" s="11" t="inlineStr">
        <is>
          <t>Partial</t>
        </is>
      </c>
      <c r="F101" s="11" t="inlineStr">
        <is>
          <t>S</t>
        </is>
      </c>
      <c r="G101" s="11" t="inlineStr">
        <is>
          <t>Low</t>
        </is>
      </c>
      <c r="H101" s="11" t="inlineStr">
        <is>
          <t>DONE d9fc96b: customer badges show Payment Rejected / Balance Due / Out of Stock / Prescription Rejected. Keeps the paper's status name (no letter).</t>
        </is>
      </c>
      <c r="I101" s="11" t="inlineStr">
        <is>
          <t>None</t>
        </is>
      </c>
      <c r="J101" s="11" t="inlineStr"/>
      <c r="K101" s="11" t="inlineStr">
        <is>
          <t>Done</t>
        </is>
      </c>
    </row>
    <row r="102">
      <c r="A102" s="11" t="n">
        <v>101</v>
      </c>
      <c r="B102" s="11" t="inlineStr">
        <is>
          <t>System</t>
        </is>
      </c>
      <c r="C102" s="11" t="inlineStr">
        <is>
          <t>Technical Background p.35-37</t>
        </is>
      </c>
      <c r="D102" s="11" t="inlineStr">
        <is>
          <t>Inventory movement chart on the dashboard (stock in/out over the period)</t>
        </is>
      </c>
      <c r="E102" s="11" t="inlineStr">
        <is>
          <t>Missing</t>
        </is>
      </c>
      <c r="F102" s="11" t="inlineStr">
        <is>
          <t>S</t>
        </is>
      </c>
      <c r="G102" s="11" t="inlineStr">
        <is>
          <t>Low</t>
        </is>
      </c>
      <c r="H102" s="11" t="inlineStr">
        <is>
          <t>Keeps the Chart.js claim (no letter).</t>
        </is>
      </c>
      <c r="I102" s="11" t="inlineStr">
        <is>
          <t>None</t>
        </is>
      </c>
      <c r="J102" s="11" t="inlineStr"/>
      <c r="K102" s="11" t="inlineStr">
        <is>
          <t>Open</t>
        </is>
      </c>
    </row>
    <row r="103">
      <c r="A103" s="11" t="n">
        <v>102</v>
      </c>
      <c r="B103" s="11" t="inlineStr">
        <is>
          <t>System</t>
        </is>
      </c>
      <c r="C103" s="11" t="inlineStr">
        <is>
          <t>Modules p.42</t>
        </is>
      </c>
      <c r="D103" s="11" t="inlineStr">
        <is>
          <t>Price lock/unlock toggle per product (Branch Manager only)</t>
        </is>
      </c>
      <c r="E103" s="11" t="inlineStr">
        <is>
          <t>Missing</t>
        </is>
      </c>
      <c r="F103" s="11" t="inlineStr">
        <is>
          <t>S</t>
        </is>
      </c>
      <c r="G103" s="11" t="inlineStr">
        <is>
          <t>Low</t>
        </is>
      </c>
      <c r="H103" s="11" t="inlineStr">
        <is>
          <t>DONE Lock/Unlock prices button for the Branch Manager in Edit Product. Keeps 'price locking' (no letter).</t>
        </is>
      </c>
      <c r="I103" s="11" t="inlineStr">
        <is>
          <t>None</t>
        </is>
      </c>
      <c r="J103" s="11" t="inlineStr"/>
      <c r="K103" s="11" t="inlineStr">
        <is>
          <t>Done</t>
        </is>
      </c>
    </row>
    <row r="104">
      <c r="A104" s="11" t="n">
        <v>103</v>
      </c>
      <c r="B104" s="11" t="inlineStr">
        <is>
          <t>System</t>
        </is>
      </c>
      <c r="C104" s="11" t="inlineStr">
        <is>
          <t>Theoretical Framework p.23</t>
        </is>
      </c>
      <c r="D104" s="11" t="inlineStr">
        <is>
          <t>Browser notifications for staff alerts (new order, pending payment, expiry, low stock)</t>
        </is>
      </c>
      <c r="E104" s="11" t="inlineStr">
        <is>
          <t>Missing</t>
        </is>
      </c>
      <c r="F104" s="11" t="inlineStr">
        <is>
          <t>S</t>
        </is>
      </c>
      <c r="G104" s="11" t="inlineStr">
        <is>
          <t>Low</t>
        </is>
      </c>
      <c r="H104" s="11" t="inlineStr">
        <is>
          <t>Keeps the 'push notifications' claim (no letter).</t>
        </is>
      </c>
      <c r="I104" s="11" t="inlineStr">
        <is>
          <t>None</t>
        </is>
      </c>
      <c r="J104" s="11" t="inlineStr"/>
      <c r="K104" s="11" t="inlineStr">
        <is>
          <t>Open</t>
        </is>
      </c>
    </row>
    <row r="105">
      <c r="A105" s="11" t="n">
        <v>104</v>
      </c>
      <c r="B105" s="11" t="inlineStr">
        <is>
          <t>System</t>
        </is>
      </c>
      <c r="C105" s="11" t="inlineStr">
        <is>
          <t>REQ039, Fig 2.10, C16</t>
        </is>
      </c>
      <c r="D105" s="11" t="inlineStr">
        <is>
          <t>Order-placed notification in the customer's bell (no database rule change needed if derived from order status)</t>
        </is>
      </c>
      <c r="E105" s="11" t="inlineStr">
        <is>
          <t>Missing</t>
        </is>
      </c>
      <c r="F105" s="11" t="inlineStr">
        <is>
          <t>S</t>
        </is>
      </c>
      <c r="G105" s="11" t="inlineStr">
        <is>
          <t>Low</t>
        </is>
      </c>
      <c r="H105" s="11" t="inlineStr">
        <is>
          <t>DONE written at checkout (rule allows only the customer's own 'order_placed' notice).</t>
        </is>
      </c>
      <c r="I105" s="11" t="inlineStr">
        <is>
          <t>None</t>
        </is>
      </c>
      <c r="J105" s="11" t="inlineStr"/>
      <c r="K105" s="11" t="inlineStr">
        <is>
          <t>Done</t>
        </is>
      </c>
    </row>
    <row r="106">
      <c r="A106" s="11" t="n">
        <v>105</v>
      </c>
      <c r="B106" s="11" t="inlineStr">
        <is>
          <t>System</t>
        </is>
      </c>
      <c r="C106" s="11" t="inlineStr">
        <is>
          <t>System roles (-)</t>
        </is>
      </c>
      <c r="D106" s="11" t="inlineStr">
        <is>
          <t>The system also has a legacy 'Administrator' role that the paper never mentions. Hide it from the UI or document it.</t>
        </is>
      </c>
      <c r="E106" s="11" t="inlineStr">
        <is>
          <t>Manuscript pass</t>
        </is>
      </c>
      <c r="F106" s="11" t="inlineStr">
        <is>
          <t>S</t>
        </is>
      </c>
      <c r="G106" s="11" t="inlineStr">
        <is>
          <t>Low</t>
        </is>
      </c>
      <c r="H106" s="11" t="inlineStr"/>
      <c r="I106" s="11" t="inlineStr">
        <is>
          <t>None</t>
        </is>
      </c>
      <c r="J106" s="11" t="inlineStr"/>
      <c r="K106" s="11" t="inlineStr">
        <is>
          <t>Open</t>
        </is>
      </c>
    </row>
    <row r="107">
      <c r="A107" s="11" t="n">
        <v>106</v>
      </c>
      <c r="B107" s="11" t="inlineStr">
        <is>
          <t>System + paper</t>
        </is>
      </c>
      <c r="C107" s="11" t="inlineStr">
        <is>
          <t>Whole paper + system (-)</t>
        </is>
      </c>
      <c r="D107" s="11" t="inlineStr">
        <is>
          <t>'QR PH' in the paper and most screens, 'QR Ph' on the payment page image text. The official name is 'QR Ph'; pick one everywhere.</t>
        </is>
      </c>
      <c r="E107" s="11" t="inlineStr">
        <is>
          <t>Manuscript pass</t>
        </is>
      </c>
      <c r="F107" s="11" t="inlineStr">
        <is>
          <t>S</t>
        </is>
      </c>
      <c r="G107" s="11" t="inlineStr">
        <is>
          <t>Low</t>
        </is>
      </c>
      <c r="H107" s="11" t="inlineStr"/>
      <c r="I107" s="11" t="inlineStr">
        <is>
          <t>Corrects / rewords</t>
        </is>
      </c>
      <c r="J107" s="11" t="inlineStr"/>
      <c r="K107" s="11" t="inlineStr">
        <is>
          <t>Open</t>
        </is>
      </c>
    </row>
    <row r="108">
      <c r="A108" s="11" t="n">
        <v>107</v>
      </c>
      <c r="B108" s="11" t="inlineStr">
        <is>
          <t>Paper</t>
        </is>
      </c>
      <c r="C108" s="11" t="inlineStr">
        <is>
          <t>Modules FEFO p.41</t>
        </is>
      </c>
      <c r="D108" s="11" t="inlineStr">
        <is>
          <t>Add the 2-month Bad Order step (C7).</t>
        </is>
      </c>
      <c r="E108" s="11" t="inlineStr">
        <is>
          <t>Paper edit</t>
        </is>
      </c>
      <c r="F108" s="11" t="inlineStr">
        <is>
          <t>S</t>
        </is>
      </c>
      <c r="G108" s="11" t="inlineStr">
        <is>
          <t>Low</t>
        </is>
      </c>
      <c r="H108" s="11" t="inlineStr">
        <is>
          <t>See Contradictions / Paper Edits</t>
        </is>
      </c>
      <c r="I108" s="11" t="inlineStr">
        <is>
          <t>Corrects / rewords</t>
        </is>
      </c>
      <c r="J108" s="11" t="inlineStr"/>
      <c r="K108" s="11" t="inlineStr">
        <is>
          <t>Open</t>
        </is>
      </c>
    </row>
    <row r="109">
      <c r="A109" s="11" t="n">
        <v>108</v>
      </c>
      <c r="B109" s="11" t="inlineStr">
        <is>
          <t>Paper</t>
        </is>
      </c>
      <c r="C109" s="11" t="inlineStr">
        <is>
          <t>Technical Background p.35-37; Budget p.99</t>
        </is>
      </c>
      <c r="D109" s="11" t="inlineStr">
        <is>
          <t>Cloudinary instead of Firebase Storage; Choices.js added; DataTable removed; hosting per decision (Tech Stack sheet).</t>
        </is>
      </c>
      <c r="E109" s="11" t="inlineStr">
        <is>
          <t>Paper edit</t>
        </is>
      </c>
      <c r="F109" s="11" t="inlineStr">
        <is>
          <t>S</t>
        </is>
      </c>
      <c r="G109" s="11" t="inlineStr">
        <is>
          <t>Low</t>
        </is>
      </c>
      <c r="H109" s="11" t="inlineStr">
        <is>
          <t>See Contradictions / Paper Edits</t>
        </is>
      </c>
      <c r="I109" s="12" t="inlineStr">
        <is>
          <t>REMOVES / narrows - see Removals (Letter)</t>
        </is>
      </c>
      <c r="J109" s="11" t="inlineStr"/>
      <c r="K109" s="11" t="inlineStr">
        <is>
          <t>Open</t>
        </is>
      </c>
    </row>
    <row r="110">
      <c r="A110" s="11" t="n">
        <v>109</v>
      </c>
      <c r="B110" s="11" t="inlineStr">
        <is>
          <t>Paper</t>
        </is>
      </c>
      <c r="C110" s="11" t="inlineStr">
        <is>
          <t>Scope p.6; Product Browsing REQ009</t>
        </is>
      </c>
      <c r="D110" s="11" t="inlineStr">
        <is>
          <t>The client also sells medical supplies and grocery items (monthly report); the paper only mentions OTC/prescription medicines. Mention them, or exclude them on purpose.</t>
        </is>
      </c>
      <c r="E110" s="11" t="inlineStr">
        <is>
          <t>Paper edit</t>
        </is>
      </c>
      <c r="F110" s="11" t="inlineStr">
        <is>
          <t>S</t>
        </is>
      </c>
      <c r="G110" s="11" t="inlineStr">
        <is>
          <t>Low</t>
        </is>
      </c>
      <c r="H110" s="11" t="inlineStr">
        <is>
          <t>See Contradictions / Paper Edits</t>
        </is>
      </c>
      <c r="I110" s="11" t="inlineStr">
        <is>
          <t>Adds</t>
        </is>
      </c>
      <c r="J110" s="11" t="inlineStr"/>
      <c r="K110" s="11" t="inlineStr">
        <is>
          <t>Open</t>
        </is>
      </c>
    </row>
    <row r="111">
      <c r="A111" s="11" t="n">
        <v>110</v>
      </c>
      <c r="B111" s="11" t="inlineStr">
        <is>
          <t>Paper</t>
        </is>
      </c>
      <c r="C111" s="11" t="inlineStr">
        <is>
          <t>Scope and Limitations p.7</t>
        </is>
      </c>
      <c r="D111" s="11" t="inlineStr">
        <is>
          <t>Add: system receipts/invoices are internal records, not BIR-registered official receipts; BIR/VAT receipts stay manual on request; no BIR or government integration (client policy, Interview 1).</t>
        </is>
      </c>
      <c r="E111" s="11" t="inlineStr">
        <is>
          <t>Paper edit</t>
        </is>
      </c>
      <c r="F111" s="11" t="inlineStr">
        <is>
          <t>S</t>
        </is>
      </c>
      <c r="G111" s="11" t="inlineStr">
        <is>
          <t>Low</t>
        </is>
      </c>
      <c r="H111" s="11" t="inlineStr">
        <is>
          <t>See Contradictions / Paper Edits</t>
        </is>
      </c>
      <c r="I111" s="11" t="inlineStr">
        <is>
          <t>Adds</t>
        </is>
      </c>
      <c r="J111" s="11" t="inlineStr"/>
      <c r="K111" s="11" t="inlineStr">
        <is>
          <t>Open</t>
        </is>
      </c>
    </row>
    <row r="112">
      <c r="A112" s="11" t="n">
        <v>111</v>
      </c>
      <c r="B112" s="11" t="inlineStr">
        <is>
          <t>Paper</t>
        </is>
      </c>
      <c r="C112" s="11" t="inlineStr">
        <is>
          <t>Decision-dependent</t>
        </is>
      </c>
      <c r="D112" s="11" t="inlineStr">
        <is>
          <t>Live chat/AI (Obj. 1, Scope, Framework, REQ035-038, REQ108-110, NF008, NF012); real-time refresh (NF005); hosting (NF013); wholesale price visibility (REQ088).</t>
        </is>
      </c>
      <c r="E112" s="11" t="inlineStr">
        <is>
          <t>Paper edit</t>
        </is>
      </c>
      <c r="F112" s="11" t="inlineStr">
        <is>
          <t>S</t>
        </is>
      </c>
      <c r="G112" s="11" t="inlineStr">
        <is>
          <t>Low</t>
        </is>
      </c>
      <c r="H112" s="11" t="inlineStr">
        <is>
          <t>DECIDED: build it on Gemini via Firebase AI Logic (free tier), swappable to Groq; FAQ answers without AI calls; staff handoff when the free limit is hit. Verify the project's limit in AI Studio first. See Contradictions / Paper Edits</t>
        </is>
      </c>
      <c r="I112" s="11" t="inlineStr">
        <is>
          <t>Corrects / rewords</t>
        </is>
      </c>
      <c r="J112" s="11" t="inlineStr"/>
      <c r="K112" s="11" t="inlineStr">
        <is>
          <t>Open</t>
        </is>
      </c>
    </row>
    <row r="113">
      <c r="A113" s="11" t="n">
        <v>112</v>
      </c>
      <c r="B113" s="11" t="inlineStr">
        <is>
          <t>Paper</t>
        </is>
      </c>
      <c r="C113" s="11" t="inlineStr">
        <is>
          <t>Whole paper (-)</t>
        </is>
      </c>
      <c r="D113" s="11" t="inlineStr">
        <is>
          <t>Spelling consistency: 'Fulfilment' on the cover vs 'fulfillment' elsewhere.</t>
        </is>
      </c>
      <c r="E113" s="11" t="inlineStr">
        <is>
          <t>Manuscript pass</t>
        </is>
      </c>
      <c r="F113" s="11" t="inlineStr">
        <is>
          <t>S</t>
        </is>
      </c>
      <c r="G113" s="11" t="inlineStr">
        <is>
          <t>Low</t>
        </is>
      </c>
      <c r="H113" s="11" t="inlineStr"/>
      <c r="I113" s="11" t="inlineStr">
        <is>
          <t>Corrects / rewords</t>
        </is>
      </c>
      <c r="J113" s="11" t="inlineStr"/>
      <c r="K113" s="11" t="inlineStr">
        <is>
          <t>Open</t>
        </is>
      </c>
    </row>
    <row r="114">
      <c r="A114" s="11" t="n">
        <v>113</v>
      </c>
      <c r="B114" s="11" t="inlineStr">
        <is>
          <t>Paper</t>
        </is>
      </c>
      <c r="C114" s="11" t="inlineStr">
        <is>
          <t>Scope (p.6)</t>
        </is>
      </c>
      <c r="D114" s="11" t="inlineStr">
        <is>
          <t>'Intended to serve retail customers, wholesale clients, branch staff, and main office management': wholesale clients and the main office never log in. Reword to 'staff record wholesale transactions; reports are submitted to the main office'.</t>
        </is>
      </c>
      <c r="E114" s="11" t="inlineStr">
        <is>
          <t>Manuscript pass</t>
        </is>
      </c>
      <c r="F114" s="11" t="inlineStr">
        <is>
          <t>S</t>
        </is>
      </c>
      <c r="G114" s="11" t="inlineStr">
        <is>
          <t>Low</t>
        </is>
      </c>
      <c r="H114" s="11" t="inlineStr"/>
      <c r="I114" s="12" t="inlineStr">
        <is>
          <t>REMOVES / narrows - see Removals (Letter)</t>
        </is>
      </c>
      <c r="J114" s="11" t="inlineStr"/>
      <c r="K114" s="11" t="inlineStr">
        <is>
          <t>Open</t>
        </is>
      </c>
    </row>
    <row r="115">
      <c r="A115" s="11" t="n">
        <v>114</v>
      </c>
      <c r="B115" s="11" t="inlineStr">
        <is>
          <t>Paper</t>
        </is>
      </c>
      <c r="C115" s="11" t="inlineStr">
        <is>
          <t>Theoretical Framework (p.22-23)</t>
        </is>
      </c>
      <c r="D115" s="11" t="inlineStr">
        <is>
          <t>Mentions 'instantaneous push notifications for near-expiry supplies'; the system has an in-app notification bell, not push notifications. Reword.</t>
        </is>
      </c>
      <c r="E115" s="11" t="inlineStr">
        <is>
          <t>Manuscript pass</t>
        </is>
      </c>
      <c r="F115" s="11" t="inlineStr">
        <is>
          <t>S</t>
        </is>
      </c>
      <c r="G115" s="11" t="inlineStr">
        <is>
          <t>Low</t>
        </is>
      </c>
      <c r="H115" s="11" t="inlineStr"/>
      <c r="I115" s="12" t="inlineStr">
        <is>
          <t>REMOVES / narrows - see Removals (Letter)</t>
        </is>
      </c>
      <c r="J115" s="11" t="inlineStr"/>
      <c r="K115" s="11" t="inlineStr">
        <is>
          <t>Open</t>
        </is>
      </c>
    </row>
    <row r="116">
      <c r="A116" s="11" t="n">
        <v>115</v>
      </c>
      <c r="B116" s="11" t="inlineStr">
        <is>
          <t>Paper</t>
        </is>
      </c>
      <c r="C116" s="11" t="inlineStr">
        <is>
          <t>Methodology: sprint plan (p.32)</t>
        </is>
      </c>
      <c r="D116" s="11" t="inlineStr">
        <is>
          <t>Phase 4 (customer side) lists the 'one-click copy feature for delivery details' under My Orders; that's an admin Delivery feature (also listed in Phase 6). Remove it from Phase 4.</t>
        </is>
      </c>
      <c r="E116" s="11" t="inlineStr">
        <is>
          <t>Manuscript pass</t>
        </is>
      </c>
      <c r="F116" s="11" t="inlineStr">
        <is>
          <t>S</t>
        </is>
      </c>
      <c r="G116" s="11" t="inlineStr">
        <is>
          <t>Low</t>
        </is>
      </c>
      <c r="H116" s="11" t="inlineStr"/>
      <c r="I116" s="11" t="inlineStr">
        <is>
          <t>Corrects / rewords</t>
        </is>
      </c>
      <c r="J116" s="11" t="inlineStr"/>
      <c r="K116" s="11" t="inlineStr">
        <is>
          <t>Open</t>
        </is>
      </c>
    </row>
    <row r="117">
      <c r="A117" s="11" t="n">
        <v>116</v>
      </c>
      <c r="B117" s="11" t="inlineStr">
        <is>
          <t>Paper</t>
        </is>
      </c>
      <c r="C117" s="11" t="inlineStr">
        <is>
          <t>Technical Background (p.35)</t>
        </is>
      </c>
      <c r="D117" s="11" t="inlineStr">
        <is>
          <t>Say 'Cloud Firestore' instead of 'real-time database', and Cloudinary instead of Firebase cloud storage for images.</t>
        </is>
      </c>
      <c r="E117" s="11" t="inlineStr">
        <is>
          <t>Manuscript pass</t>
        </is>
      </c>
      <c r="F117" s="11" t="inlineStr">
        <is>
          <t>S</t>
        </is>
      </c>
      <c r="G117" s="11" t="inlineStr">
        <is>
          <t>Low</t>
        </is>
      </c>
      <c r="H117" s="11" t="inlineStr"/>
      <c r="I117" s="11" t="inlineStr">
        <is>
          <t>Corrects / rewords</t>
        </is>
      </c>
      <c r="J117" s="11" t="inlineStr"/>
      <c r="K117" s="11" t="inlineStr">
        <is>
          <t>Open</t>
        </is>
      </c>
    </row>
    <row r="118">
      <c r="A118" s="11" t="n">
        <v>117</v>
      </c>
      <c r="B118" s="11" t="inlineStr">
        <is>
          <t>Paper</t>
        </is>
      </c>
      <c r="C118" s="11" t="inlineStr">
        <is>
          <t>Technical Background (p.35-36)</t>
        </is>
      </c>
      <c r="D118" s="11" t="inlineStr">
        <is>
          <t>EmailJS listed for order confirmations and password reset links: password reset is Firebase Auth; order emails depend on REQ039.</t>
        </is>
      </c>
      <c r="E118" s="11" t="inlineStr">
        <is>
          <t>Manuscript pass</t>
        </is>
      </c>
      <c r="F118" s="11" t="inlineStr">
        <is>
          <t>S</t>
        </is>
      </c>
      <c r="G118" s="11" t="inlineStr">
        <is>
          <t>Low</t>
        </is>
      </c>
      <c r="H118" s="11" t="inlineStr"/>
      <c r="I118" s="12" t="inlineStr">
        <is>
          <t>REMOVES / narrows - see Removals (Letter)</t>
        </is>
      </c>
      <c r="J118" s="11" t="inlineStr"/>
      <c r="K118" s="11" t="inlineStr">
        <is>
          <t>Open</t>
        </is>
      </c>
    </row>
    <row r="119">
      <c r="A119" s="11" t="n">
        <v>118</v>
      </c>
      <c r="B119" s="11" t="inlineStr">
        <is>
          <t>Paper</t>
        </is>
      </c>
      <c r="C119" s="11" t="inlineStr">
        <is>
          <t>Technical Background (p.35-36)</t>
        </is>
      </c>
      <c r="D119" s="11" t="inlineStr">
        <is>
          <t>Chart.js listed for 'inventory movement data': dashboard charts are sales only (inventory uses count tiles). Reword or add an inventory chart.</t>
        </is>
      </c>
      <c r="E119" s="11" t="inlineStr">
        <is>
          <t>Manuscript pass</t>
        </is>
      </c>
      <c r="F119" s="11" t="inlineStr">
        <is>
          <t>S</t>
        </is>
      </c>
      <c r="G119" s="11" t="inlineStr">
        <is>
          <t>Low</t>
        </is>
      </c>
      <c r="H119" s="11" t="inlineStr"/>
      <c r="I119" s="12" t="inlineStr">
        <is>
          <t>REMOVES / narrows - see Removals (Letter)</t>
        </is>
      </c>
      <c r="J119" s="11" t="inlineStr"/>
      <c r="K119" s="11" t="inlineStr">
        <is>
          <t>Open</t>
        </is>
      </c>
    </row>
    <row r="120">
      <c r="A120" s="11" t="n">
        <v>119</v>
      </c>
      <c r="B120" s="11" t="inlineStr">
        <is>
          <t>Paper</t>
        </is>
      </c>
      <c r="C120" s="11" t="inlineStr">
        <is>
          <t>Technical Background (p.35, 37)</t>
        </is>
      </c>
      <c r="D120" s="11" t="inlineStr">
        <is>
          <t>DataTable listed; tables are custom-built. Remove or reword.</t>
        </is>
      </c>
      <c r="E120" s="11" t="inlineStr">
        <is>
          <t>Manuscript pass</t>
        </is>
      </c>
      <c r="F120" s="11" t="inlineStr">
        <is>
          <t>S</t>
        </is>
      </c>
      <c r="G120" s="11" t="inlineStr">
        <is>
          <t>Low</t>
        </is>
      </c>
      <c r="H120" s="11" t="inlineStr"/>
      <c r="I120" s="12" t="inlineStr">
        <is>
          <t>REMOVES / narrows - see Removals (Letter)</t>
        </is>
      </c>
      <c r="J120" s="11" t="inlineStr"/>
      <c r="K120" s="11" t="inlineStr">
        <is>
          <t>Open</t>
        </is>
      </c>
    </row>
    <row r="121">
      <c r="A121" s="11" t="n">
        <v>120</v>
      </c>
      <c r="B121" s="11" t="inlineStr">
        <is>
          <t>Paper</t>
        </is>
      </c>
      <c r="C121" s="11" t="inlineStr">
        <is>
          <t>Technical Background: Software (p.36-38)</t>
        </is>
      </c>
      <c r="D121" s="11" t="inlineStr">
        <is>
          <t>Missing tools actually used: Cloudinary (images), Choices.js (searchable dropdowns), Bootstrap Icons, Google Fonts (Roboto), Git/GitHub (version control), Node.js http-server (local serving).</t>
        </is>
      </c>
      <c r="E121" s="11" t="inlineStr">
        <is>
          <t>Manuscript pass</t>
        </is>
      </c>
      <c r="F121" s="11" t="inlineStr">
        <is>
          <t>S</t>
        </is>
      </c>
      <c r="G121" s="11" t="inlineStr">
        <is>
          <t>Low</t>
        </is>
      </c>
      <c r="H121" s="11" t="inlineStr"/>
      <c r="I121" s="11" t="inlineStr">
        <is>
          <t>Adds</t>
        </is>
      </c>
      <c r="J121" s="11" t="inlineStr"/>
      <c r="K121" s="11" t="inlineStr">
        <is>
          <t>Open</t>
        </is>
      </c>
    </row>
    <row r="122">
      <c r="A122" s="11" t="n">
        <v>121</v>
      </c>
      <c r="B122" s="11" t="inlineStr">
        <is>
          <t>Paper</t>
        </is>
      </c>
      <c r="C122" s="11" t="inlineStr">
        <is>
          <t>Technical Background: Software (p.38)</t>
        </is>
      </c>
      <c r="D122" s="11" t="inlineStr">
        <is>
          <t>Canva is listed for mockups, but the Gantt chart says 'Creation of Figma'. Use one tool name.</t>
        </is>
      </c>
      <c r="E122" s="11" t="inlineStr">
        <is>
          <t>Manuscript pass</t>
        </is>
      </c>
      <c r="F122" s="11" t="inlineStr">
        <is>
          <t>S</t>
        </is>
      </c>
      <c r="G122" s="11" t="inlineStr">
        <is>
          <t>Low</t>
        </is>
      </c>
      <c r="H122" s="11" t="inlineStr"/>
      <c r="I122" s="11" t="inlineStr">
        <is>
          <t>Corrects / rewords</t>
        </is>
      </c>
      <c r="J122" s="11" t="inlineStr"/>
      <c r="K122" s="11" t="inlineStr">
        <is>
          <t>Open</t>
        </is>
      </c>
    </row>
    <row r="123">
      <c r="A123" s="11" t="n">
        <v>122</v>
      </c>
      <c r="B123" s="11" t="inlineStr">
        <is>
          <t>Paper</t>
        </is>
      </c>
      <c r="C123" s="11" t="inlineStr">
        <is>
          <t>Modules: Price Management (p.42)</t>
        </is>
      </c>
      <c r="D123" s="11" t="inlineStr">
        <is>
          <t>'Allows price locking': the lock is the Branch Manager-only rule (no separate lock switch). Reword, or add a lock toggle.</t>
        </is>
      </c>
      <c r="E123" s="11" t="inlineStr">
        <is>
          <t>Manuscript pass</t>
        </is>
      </c>
      <c r="F123" s="11" t="inlineStr">
        <is>
          <t>S</t>
        </is>
      </c>
      <c r="G123" s="11" t="inlineStr">
        <is>
          <t>Low</t>
        </is>
      </c>
      <c r="H123" s="11" t="inlineStr">
        <is>
          <t>DONE No paper change needed: the Branch Manager has a Lock/Unlock prices toggle per product.</t>
        </is>
      </c>
      <c r="I123" s="12" t="inlineStr">
        <is>
          <t>REMOVES / narrows - see Removals (Letter)</t>
        </is>
      </c>
      <c r="J123" s="11" t="inlineStr"/>
      <c r="K123" s="11" t="inlineStr">
        <is>
          <t>Done</t>
        </is>
      </c>
    </row>
    <row r="124">
      <c r="A124" s="11" t="n">
        <v>123</v>
      </c>
      <c r="B124" s="11" t="inlineStr">
        <is>
          <t>Paper</t>
        </is>
      </c>
      <c r="C124" s="11" t="inlineStr">
        <is>
          <t>Wireframes (Figs 2.16-2.21) (p.92-95)</t>
        </is>
      </c>
      <c r="D124" s="11" t="inlineStr">
        <is>
          <t>Not compared yet. Replace with real screenshots, or keep them labelled as early wireframes.</t>
        </is>
      </c>
      <c r="E124" s="11" t="inlineStr">
        <is>
          <t>Manuscript pass</t>
        </is>
      </c>
      <c r="F124" s="11" t="inlineStr">
        <is>
          <t>S</t>
        </is>
      </c>
      <c r="G124" s="11" t="inlineStr">
        <is>
          <t>Low</t>
        </is>
      </c>
      <c r="H124" s="11" t="inlineStr"/>
      <c r="I124" s="11" t="inlineStr">
        <is>
          <t>Corrects / rewords</t>
        </is>
      </c>
      <c r="J124" s="11" t="inlineStr"/>
      <c r="K124" s="11" t="inlineStr">
        <is>
          <t>Open</t>
        </is>
      </c>
    </row>
    <row r="125">
      <c r="A125" s="11" t="n">
        <v>124</v>
      </c>
      <c r="B125" s="11" t="inlineStr">
        <is>
          <t>Paper</t>
        </is>
      </c>
      <c r="C125" s="11" t="inlineStr">
        <is>
          <t>Calendar of Activities (p.97-98)</t>
        </is>
      </c>
      <c r="D125" s="11" t="inlineStr">
        <is>
          <t>Add rows for work actually done (POS, inventory, payment verification, wholesale, reports, testing) and mark 'System Deployment' per the hosting decision.</t>
        </is>
      </c>
      <c r="E125" s="11" t="inlineStr">
        <is>
          <t>Manuscript pass</t>
        </is>
      </c>
      <c r="F125" s="11" t="inlineStr">
        <is>
          <t>S</t>
        </is>
      </c>
      <c r="G125" s="11" t="inlineStr">
        <is>
          <t>Low</t>
        </is>
      </c>
      <c r="H125" s="11" t="inlineStr"/>
      <c r="I125" s="11" t="inlineStr">
        <is>
          <t>Corrects / rewords</t>
        </is>
      </c>
      <c r="J125" s="11" t="inlineStr"/>
      <c r="K125" s="11" t="inlineStr">
        <is>
          <t>Open</t>
        </is>
      </c>
    </row>
    <row r="126">
      <c r="A126" s="11" t="n">
        <v>125</v>
      </c>
      <c r="B126" s="11" t="inlineStr">
        <is>
          <t>Paper</t>
        </is>
      </c>
      <c r="C126" s="11" t="inlineStr">
        <is>
          <t>Budgetary Estimate (p.99)</t>
        </is>
      </c>
      <c r="D126" s="11" t="inlineStr">
        <is>
          <t>Total ₱31,790.08 checks out. Missing: Cloudinary (free), OpenAI API (pay-per-use, if chat is built), thermal printer (if printing is in scope).</t>
        </is>
      </c>
      <c r="E126" s="11" t="inlineStr">
        <is>
          <t>Manuscript pass</t>
        </is>
      </c>
      <c r="F126" s="11" t="inlineStr">
        <is>
          <t>S</t>
        </is>
      </c>
      <c r="G126" s="11" t="inlineStr">
        <is>
          <t>Low</t>
        </is>
      </c>
      <c r="H126" s="11" t="inlineStr"/>
      <c r="I126" s="11" t="inlineStr">
        <is>
          <t>Corrects / rewords</t>
        </is>
      </c>
      <c r="J126" s="11" t="inlineStr"/>
      <c r="K126" s="11" t="inlineStr">
        <is>
          <t>Open</t>
        </is>
      </c>
    </row>
    <row r="127">
      <c r="A127" s="11" t="n">
        <v>126</v>
      </c>
      <c r="B127" s="11" t="inlineStr">
        <is>
          <t>Paper</t>
        </is>
      </c>
      <c r="C127" s="11" t="inlineStr">
        <is>
          <t>Budgetary Estimate (p.99)</t>
        </is>
      </c>
      <c r="D127" s="11" t="inlineStr">
        <is>
          <t>Domain name ₱841.08 and Firebase Blaze ₱200: keep only if actually bought/used. Netlify is listed as free, but deployment was blocked by billing; make these consistent.</t>
        </is>
      </c>
      <c r="E127" s="11" t="inlineStr">
        <is>
          <t>Manuscript pass</t>
        </is>
      </c>
      <c r="F127" s="11" t="inlineStr">
        <is>
          <t>S</t>
        </is>
      </c>
      <c r="G127" s="11" t="inlineStr">
        <is>
          <t>Low</t>
        </is>
      </c>
      <c r="H127" s="11" t="inlineStr"/>
      <c r="I127" s="11" t="inlineStr">
        <is>
          <t>Corrects / rewords</t>
        </is>
      </c>
      <c r="J127" s="11" t="inlineStr"/>
      <c r="K127" s="11" t="inlineStr">
        <is>
          <t>Open</t>
        </is>
      </c>
    </row>
    <row r="128">
      <c r="A128" s="11" t="n">
        <v>127</v>
      </c>
      <c r="B128" s="11" t="inlineStr">
        <is>
          <t>Paper</t>
        </is>
      </c>
      <c r="C128" s="11" t="inlineStr">
        <is>
          <t>References (p.100)</t>
        </is>
      </c>
      <c r="D128" s="11" t="inlineStr">
        <is>
          <t>Davis reference is written 'Fred D. Davis. (1989)'; APA is 'Davis, F. D. (1989).'</t>
        </is>
      </c>
      <c r="E128" s="11" t="inlineStr">
        <is>
          <t>Manuscript pass</t>
        </is>
      </c>
      <c r="F128" s="11" t="inlineStr">
        <is>
          <t>S</t>
        </is>
      </c>
      <c r="G128" s="11" t="inlineStr">
        <is>
          <t>Low</t>
        </is>
      </c>
      <c r="H128" s="11" t="inlineStr"/>
      <c r="I128" s="11" t="inlineStr">
        <is>
          <t>Corrects / rewords</t>
        </is>
      </c>
      <c r="J128" s="11" t="inlineStr"/>
      <c r="K128" s="11" t="inlineStr">
        <is>
          <t>Open</t>
        </is>
      </c>
    </row>
    <row r="129">
      <c r="A129" s="11" t="n">
        <v>128</v>
      </c>
      <c r="B129" s="11" t="inlineStr">
        <is>
          <t>Paper</t>
        </is>
      </c>
      <c r="C129" s="11" t="inlineStr">
        <is>
          <t>References (p.10 / refs)</t>
        </is>
      </c>
      <c r="D129" s="11" t="inlineStr">
        <is>
          <t>'The Generics Pharmacy (TGP) Sumulong Case Study (2024)' is cited without an author; check the APA author/organization format.</t>
        </is>
      </c>
      <c r="E129" s="11" t="inlineStr">
        <is>
          <t>Manuscript pass</t>
        </is>
      </c>
      <c r="F129" s="11" t="inlineStr">
        <is>
          <t>S</t>
        </is>
      </c>
      <c r="G129" s="11" t="inlineStr">
        <is>
          <t>Low</t>
        </is>
      </c>
      <c r="H129" s="11" t="inlineStr"/>
      <c r="I129" s="11" t="inlineStr">
        <is>
          <t>Corrects / rewords</t>
        </is>
      </c>
      <c r="J129" s="11" t="inlineStr"/>
      <c r="K129" s="11" t="inlineStr">
        <is>
          <t>Open</t>
        </is>
      </c>
    </row>
    <row r="130">
      <c r="A130" s="11" t="n">
        <v>129</v>
      </c>
      <c r="B130" s="11" t="inlineStr">
        <is>
          <t>Paper</t>
        </is>
      </c>
      <c r="C130" s="11" t="inlineStr">
        <is>
          <t>References (p.17 / refs)</t>
        </is>
      </c>
      <c r="D130" s="11" t="inlineStr">
        <is>
          <t>Sardjono et al. (2023) is described as an Agile-based study, but its listed title is about Track and Trace in Pharma 4.0. Verify the source matches the summary.</t>
        </is>
      </c>
      <c r="E130" s="11" t="inlineStr">
        <is>
          <t>Manuscript pass</t>
        </is>
      </c>
      <c r="F130" s="11" t="inlineStr">
        <is>
          <t>S</t>
        </is>
      </c>
      <c r="G130" s="11" t="inlineStr">
        <is>
          <t>Low</t>
        </is>
      </c>
      <c r="H130" s="11" t="inlineStr"/>
      <c r="I130" s="11" t="inlineStr">
        <is>
          <t>Corrects / rewords</t>
        </is>
      </c>
      <c r="J130" s="11" t="inlineStr"/>
      <c r="K130" s="11" t="inlineStr">
        <is>
          <t>Open</t>
        </is>
      </c>
    </row>
    <row r="131">
      <c r="A131" s="11" t="n">
        <v>130</v>
      </c>
      <c r="B131" s="11" t="inlineStr">
        <is>
          <t>Paper</t>
        </is>
      </c>
      <c r="C131" s="11" t="inlineStr">
        <is>
          <t>Appendices (p.124)</t>
        </is>
      </c>
      <c r="D131" s="11" t="inlineStr">
        <is>
          <t>List of Appendices says 'PayMongo Pricing' / 'Lalamove API Instruction'; the appendix pages say 'PayMongo Pricing Limitation' / 'Lalamove API Limitation'. Match titles.</t>
        </is>
      </c>
      <c r="E131" s="11" t="inlineStr">
        <is>
          <t>Manuscript pass</t>
        </is>
      </c>
      <c r="F131" s="11" t="inlineStr">
        <is>
          <t>S</t>
        </is>
      </c>
      <c r="G131" s="11" t="inlineStr">
        <is>
          <t>Low</t>
        </is>
      </c>
      <c r="H131" s="11" t="inlineStr"/>
      <c r="I131" s="11" t="inlineStr">
        <is>
          <t>Corrects / rewords</t>
        </is>
      </c>
      <c r="J131" s="11" t="inlineStr"/>
      <c r="K131" s="11" t="inlineStr">
        <is>
          <t>Open</t>
        </is>
      </c>
    </row>
    <row r="132">
      <c r="A132" s="11" t="n">
        <v>131</v>
      </c>
      <c r="B132" s="11" t="inlineStr">
        <is>
          <t>Paper</t>
        </is>
      </c>
      <c r="C132" s="11" t="inlineStr">
        <is>
          <t>Table of Contents / List of Figures (p.iv-vi)</t>
        </is>
      </c>
      <c r="D132" s="11" t="inlineStr">
        <is>
          <t>Regenerate page numbers after all edits.</t>
        </is>
      </c>
      <c r="E132" s="11" t="inlineStr">
        <is>
          <t>Manuscript pass</t>
        </is>
      </c>
      <c r="F132" s="11" t="inlineStr">
        <is>
          <t>S</t>
        </is>
      </c>
      <c r="G132" s="11" t="inlineStr">
        <is>
          <t>Low</t>
        </is>
      </c>
      <c r="H132" s="11" t="inlineStr"/>
      <c r="I132" s="11" t="inlineStr">
        <is>
          <t>Corrects / rewords</t>
        </is>
      </c>
      <c r="J132" s="11" t="inlineStr"/>
      <c r="K132" s="11" t="inlineStr">
        <is>
          <t>Open</t>
        </is>
      </c>
    </row>
  </sheetData>
  <autoFilter ref="A1:K132"/>
  <conditionalFormatting sqref="K2:K132">
    <cfRule type="cellIs" priority="1" operator="equal" dxfId="0">
      <formula>"Done"</formula>
    </cfRule>
  </conditionalFormatting>
  <dataValidations count="2">
    <dataValidation sqref="B2:B132" showDropDown="0" showInputMessage="0" showErrorMessage="0" allowBlank="1" type="list">
      <formula1>"Client,Decision,System,System + paper,Paper"</formula1>
    </dataValidation>
    <dataValidation sqref="K2:K132" showDropDown="0" showInputMessage="0" showErrorMessage="0" allowBlank="1" type="list">
      <formula1>"Open,In progress,Blocked,Done,Dropped"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42" customWidth="1" min="3" max="3"/>
    <col width="12" customWidth="1" min="4" max="4"/>
    <col width="30" customWidth="1" min="5" max="5"/>
    <col width="52" customWidth="1" min="6" max="6"/>
    <col width="18" customWidth="1" min="7" max="7"/>
    <col width="42" customWidth="1" min="8" max="8"/>
    <col width="10" customWidth="1" min="9" max="9"/>
    <col width="8" customWidth="1" min="10" max="10"/>
    <col width="20" customWidth="1" min="11" max="11"/>
  </cols>
  <sheetData>
    <row r="1">
      <c r="A1" s="10" t="inlineStr">
        <is>
          <t>ID</t>
        </is>
      </c>
      <c r="B1" s="10" t="inlineStr">
        <is>
          <t>Module</t>
        </is>
      </c>
      <c r="C1" s="10" t="inlineStr">
        <is>
          <t>Paper says (summary)</t>
        </is>
      </c>
      <c r="D1" s="10" t="inlineStr">
        <is>
          <t>Status</t>
        </is>
      </c>
      <c r="E1" s="10" t="inlineStr">
        <is>
          <t>Evidence (file:line)</t>
        </is>
      </c>
      <c r="F1" s="10" t="inlineStr">
        <is>
          <t>What differs</t>
        </is>
      </c>
      <c r="G1" s="10" t="inlineStr">
        <is>
          <t>Recommendation</t>
        </is>
      </c>
      <c r="H1" s="10" t="inlineStr">
        <is>
          <t>Reason</t>
        </is>
      </c>
      <c r="I1" s="10" t="inlineStr">
        <is>
          <t>Defense risk</t>
        </is>
      </c>
      <c r="J1" s="10" t="inlineStr">
        <is>
          <t>Effort</t>
        </is>
      </c>
      <c r="K1" s="10" t="inlineStr">
        <is>
          <t>Paper / source ref</t>
        </is>
      </c>
    </row>
    <row r="2">
      <c r="A2" s="11" t="inlineStr">
        <is>
          <t>REQ001</t>
        </is>
      </c>
      <c r="B2" s="11" t="inlineStr">
        <is>
          <t>Registration/Login</t>
        </is>
      </c>
      <c r="C2" s="11" t="inlineStr">
        <is>
          <t>Register with full name, email, contact no., password</t>
        </is>
      </c>
      <c r="D2" s="13" t="inlineStr">
        <is>
          <t>Matches</t>
        </is>
      </c>
      <c r="E2" s="11" t="inlineStr">
        <is>
          <t>js/register.js:140</t>
        </is>
      </c>
      <c r="F2" s="11" t="inlineStr">
        <is>
          <t>-</t>
        </is>
      </c>
      <c r="G2" s="11" t="inlineStr">
        <is>
          <t>None</t>
        </is>
      </c>
      <c r="H2" s="11" t="inlineStr"/>
      <c r="I2" s="11" t="inlineStr">
        <is>
          <t>Low</t>
        </is>
      </c>
      <c r="J2" s="11" t="inlineStr">
        <is>
          <t>-</t>
        </is>
      </c>
      <c r="K2" s="11" t="inlineStr">
        <is>
          <t>p.46</t>
        </is>
      </c>
    </row>
    <row r="3">
      <c r="A3" s="11" t="inlineStr">
        <is>
          <t>REQ002</t>
        </is>
      </c>
      <c r="B3" s="11" t="inlineStr">
        <is>
          <t>Registration/Login</t>
        </is>
      </c>
      <c r="C3" s="11" t="inlineStr">
        <is>
          <t>Email verification code; activate only after verification</t>
        </is>
      </c>
      <c r="D3" s="14" t="inlineStr">
        <is>
          <t>Partial</t>
        </is>
      </c>
      <c r="E3" s="11" t="inlineStr">
        <is>
          <t>js/register.js:214; js/verify-email.js:94; firestore.rules:43</t>
        </is>
      </c>
      <c r="F3" s="11" t="inlineStr">
        <is>
          <t>Works, but the code is stored on the customer's own user doc (readable by them) and the rules let a customer set emailVerified:true themselves, so verification can be bypassed.</t>
        </is>
      </c>
      <c r="G3" s="11" t="inlineStr">
        <is>
          <t>Change system</t>
        </is>
      </c>
      <c r="H3" s="11" t="inlineStr">
        <is>
          <t>Panel security question risk; small rules + storage change.</t>
        </is>
      </c>
      <c r="I3" s="11" t="inlineStr">
        <is>
          <t>Med</t>
        </is>
      </c>
      <c r="J3" s="11" t="inlineStr">
        <is>
          <t>S</t>
        </is>
      </c>
      <c r="K3" s="11" t="inlineStr">
        <is>
          <t>p.46</t>
        </is>
      </c>
    </row>
    <row r="4">
      <c r="A4" s="11" t="inlineStr">
        <is>
          <t>REQ003</t>
        </is>
      </c>
      <c r="B4" s="11" t="inlineStr">
        <is>
          <t>Registration/Login</t>
        </is>
      </c>
      <c r="C4" s="11" t="inlineStr">
        <is>
          <t>CAPTCHA on registration and login</t>
        </is>
      </c>
      <c r="D4" s="13" t="inlineStr">
        <is>
          <t>Matches</t>
        </is>
      </c>
      <c r="E4" s="11" t="inlineStr">
        <is>
          <t>js/register.js:184; js/auth.js:111</t>
        </is>
      </c>
      <c r="F4" s="11" t="inlineStr">
        <is>
          <t>-</t>
        </is>
      </c>
      <c r="G4" s="11" t="inlineStr">
        <is>
          <t>None</t>
        </is>
      </c>
      <c r="H4" s="11" t="inlineStr"/>
      <c r="I4" s="11" t="inlineStr">
        <is>
          <t>Low</t>
        </is>
      </c>
      <c r="J4" s="11" t="inlineStr">
        <is>
          <t>-</t>
        </is>
      </c>
      <c r="K4" s="11" t="inlineStr">
        <is>
          <t>p.46</t>
        </is>
      </c>
    </row>
    <row r="5">
      <c r="A5" s="11" t="inlineStr">
        <is>
          <t>REQ004</t>
        </is>
      </c>
      <c r="B5" s="11" t="inlineStr">
        <is>
          <t>Registration/Login</t>
        </is>
      </c>
      <c r="C5" s="11" t="inlineStr">
        <is>
          <t>Lock account 2 min after 5 failed logins</t>
        </is>
      </c>
      <c r="D5" s="13" t="inlineStr">
        <is>
          <t>Matches</t>
        </is>
      </c>
      <c r="E5" s="11" t="inlineStr">
        <is>
          <t>js/auth.js:57</t>
        </is>
      </c>
      <c r="F5" s="11" t="inlineStr">
        <is>
          <t>Lockout counter lives in a public loginAttempts collection anyone can reset (firestore.rules loginAttempts).</t>
        </is>
      </c>
      <c r="G5" s="11" t="inlineStr">
        <is>
          <t>None</t>
        </is>
      </c>
      <c r="H5" s="11" t="inlineStr">
        <is>
          <t>Behaviour matches; weakness is acceptable for capstone, mention if asked.</t>
        </is>
      </c>
      <c r="I5" s="11" t="inlineStr">
        <is>
          <t>Low</t>
        </is>
      </c>
      <c r="J5" s="11" t="inlineStr">
        <is>
          <t>-</t>
        </is>
      </c>
      <c r="K5" s="11" t="inlineStr">
        <is>
          <t>p.46</t>
        </is>
      </c>
    </row>
    <row r="6">
      <c r="A6" s="11" t="inlineStr">
        <is>
          <t>REQ005</t>
        </is>
      </c>
      <c r="B6" s="11" t="inlineStr">
        <is>
          <t>Registration/Login</t>
        </is>
      </c>
      <c r="C6" s="11" t="inlineStr">
        <is>
          <t>Email OTP when logging in from an unrecognized device</t>
        </is>
      </c>
      <c r="D6" s="15" t="inlineStr">
        <is>
          <t>Missing</t>
        </is>
      </c>
      <c r="E6" s="11" t="inlineStr">
        <is>
          <t>-</t>
        </is>
      </c>
      <c r="F6" s="11" t="inlineStr">
        <is>
          <t>No device recognition or login OTP exists.</t>
        </is>
      </c>
      <c r="G6" s="11" t="inlineStr">
        <is>
          <t>Change system</t>
        </is>
      </c>
      <c r="H6" s="11" t="inlineStr">
        <is>
          <t>Also in Fig 2.3 (Verify OTP) and Activity 2.8; OTP + EmailJS code already exists (js/otp.js) to reuse.</t>
        </is>
      </c>
      <c r="I6" s="11" t="inlineStr">
        <is>
          <t>Med</t>
        </is>
      </c>
      <c r="J6" s="11" t="inlineStr">
        <is>
          <t>M</t>
        </is>
      </c>
      <c r="K6" s="11" t="inlineStr">
        <is>
          <t>p.46; Fig 2.3; Fig 2.8</t>
        </is>
      </c>
    </row>
    <row r="7">
      <c r="A7" s="11" t="inlineStr">
        <is>
          <t>REQ006</t>
        </is>
      </c>
      <c r="B7" s="11" t="inlineStr">
        <is>
          <t>Registration/Login</t>
        </is>
      </c>
      <c r="C7" s="11" t="inlineStr">
        <is>
          <t>Show Terms and Conditions; require acceptance</t>
        </is>
      </c>
      <c r="D7" s="13" t="inlineStr">
        <is>
          <t>Matches</t>
        </is>
      </c>
      <c r="E7" s="11" t="inlineStr">
        <is>
          <t>js/terms-gate.js:34</t>
        </is>
      </c>
      <c r="F7" s="11" t="inlineStr">
        <is>
          <t>Terms rewritten to the branch's policies (client to review). (was: -)</t>
        </is>
      </c>
      <c r="G7" s="11" t="inlineStr">
        <is>
          <t>None</t>
        </is>
      </c>
      <c r="H7" s="11" t="inlineStr"/>
      <c r="I7" s="11" t="inlineStr">
        <is>
          <t>Low</t>
        </is>
      </c>
      <c r="J7" s="11" t="inlineStr">
        <is>
          <t>-</t>
        </is>
      </c>
      <c r="K7" s="11" t="inlineStr">
        <is>
          <t>p.46</t>
        </is>
      </c>
    </row>
    <row r="8">
      <c r="A8" s="11" t="inlineStr">
        <is>
          <t>REQ007</t>
        </is>
      </c>
      <c r="B8" s="11" t="inlineStr">
        <is>
          <t>Registration/Login</t>
        </is>
      </c>
      <c r="C8" s="11" t="inlineStr">
        <is>
          <t>Password recovery via time-limited reset link</t>
        </is>
      </c>
      <c r="D8" s="13" t="inlineStr">
        <is>
          <t>Matches</t>
        </is>
      </c>
      <c r="E8" s="11" t="inlineStr">
        <is>
          <t>js/forgot-password.js:51</t>
        </is>
      </c>
      <c r="F8" s="11" t="inlineStr">
        <is>
          <t>Sent by Firebase Auth, not EmailJS as the Technical Background says.</t>
        </is>
      </c>
      <c r="G8" s="11" t="inlineStr">
        <is>
          <t>Change paper</t>
        </is>
      </c>
      <c r="H8" s="11" t="inlineStr">
        <is>
          <t>Tech wording only (see Tech Stack sheet).</t>
        </is>
      </c>
      <c r="I8" s="11" t="inlineStr">
        <is>
          <t>Low</t>
        </is>
      </c>
      <c r="J8" s="11" t="inlineStr">
        <is>
          <t>-</t>
        </is>
      </c>
      <c r="K8" s="11" t="inlineStr">
        <is>
          <t>p.47</t>
        </is>
      </c>
    </row>
    <row r="9">
      <c r="A9" s="11" t="inlineStr">
        <is>
          <t>REQ008</t>
        </is>
      </c>
      <c r="B9" s="11" t="inlineStr">
        <is>
          <t>Home</t>
        </is>
      </c>
      <c r="C9" s="11" t="inlineStr">
        <is>
          <t>Home page with products, announcements, promotions, navigation</t>
        </is>
      </c>
      <c r="D9" s="13" t="inlineStr">
        <is>
          <t>Matches</t>
        </is>
      </c>
      <c r="E9" s="11" t="inlineStr">
        <is>
          <t>shop/index.html</t>
        </is>
      </c>
      <c r="F9" s="11" t="inlineStr">
        <is>
          <t>Announcement / promotion banner on every shop page, edited in Settings by the BM or Technical Staff. (was: Featured products and categories exist; no announcements or promotions section.)</t>
        </is>
      </c>
      <c r="G9" s="11" t="inlineStr">
        <is>
          <t>None</t>
        </is>
      </c>
      <c r="H9" s="11" t="inlineStr">
        <is>
          <t>The client announces store closures (e.g. long weekends) to buyers today (Interview 1); a simple staff-editable announcement banner covers it. Promotions can be dropped from the paper.</t>
        </is>
      </c>
      <c r="I9" s="11" t="inlineStr">
        <is>
          <t>Low</t>
        </is>
      </c>
      <c r="J9" s="11" t="inlineStr">
        <is>
          <t>S</t>
        </is>
      </c>
      <c r="K9" s="11" t="inlineStr">
        <is>
          <t>p.47; Interview 1</t>
        </is>
      </c>
    </row>
    <row r="10">
      <c r="A10" s="11" t="inlineStr">
        <is>
          <t>REQ009</t>
        </is>
      </c>
      <c r="B10" s="11" t="inlineStr">
        <is>
          <t>Product Browsing</t>
        </is>
      </c>
      <c r="C10" s="11" t="inlineStr">
        <is>
          <t>Catalog by category with name, price, stock availability</t>
        </is>
      </c>
      <c r="D10" s="13" t="inlineStr">
        <is>
          <t>Matches</t>
        </is>
      </c>
      <c r="E10" s="11" t="inlineStr">
        <is>
          <t>js/products-data.js:696</t>
        </is>
      </c>
      <c r="F10" s="11" t="inlineStr">
        <is>
          <t>06574da: catalog cards show the quantity in stock. (was: Cards show name/price and an Out of Stock badge, but not the quantity available (only on the product page).)</t>
        </is>
      </c>
      <c r="G10" s="11" t="inlineStr">
        <is>
          <t>None</t>
        </is>
      </c>
      <c r="H10" s="11" t="inlineStr">
        <is>
          <t>One-line card change.</t>
        </is>
      </c>
      <c r="I10" s="11" t="inlineStr">
        <is>
          <t>Low</t>
        </is>
      </c>
      <c r="J10" s="11" t="inlineStr">
        <is>
          <t>S</t>
        </is>
      </c>
      <c r="K10" s="11" t="inlineStr">
        <is>
          <t>p.47</t>
        </is>
      </c>
    </row>
    <row r="11">
      <c r="A11" s="11" t="inlineStr">
        <is>
          <t>REQ010</t>
        </is>
      </c>
      <c r="B11" s="11" t="inlineStr">
        <is>
          <t>Product Browsing</t>
        </is>
      </c>
      <c r="C11" s="11" t="inlineStr">
        <is>
          <t>Filter by category, price range, stock status</t>
        </is>
      </c>
      <c r="D11" s="13" t="inlineStr">
        <is>
          <t>Matches</t>
        </is>
      </c>
      <c r="E11" s="11" t="inlineStr">
        <is>
          <t>js/products.js:31; shop/products.html</t>
        </is>
      </c>
      <c r="F11" s="11" t="inlineStr">
        <is>
          <t>Fixed: price range + availability filters. (was: Category filter and price sort only; no price-range or stock-status filter.)</t>
        </is>
      </c>
      <c r="G11" s="11" t="inlineStr">
        <is>
          <t>None</t>
        </is>
      </c>
      <c r="H11" s="11" t="inlineStr">
        <is>
          <t>Small UI addition; visible in demo.</t>
        </is>
      </c>
      <c r="I11" s="11" t="inlineStr">
        <is>
          <t>Med</t>
        </is>
      </c>
      <c r="J11" s="11" t="inlineStr">
        <is>
          <t>S</t>
        </is>
      </c>
      <c r="K11" s="11" t="inlineStr">
        <is>
          <t>p.47</t>
        </is>
      </c>
    </row>
    <row r="12">
      <c r="A12" s="11" t="inlineStr">
        <is>
          <t>REQ011</t>
        </is>
      </c>
      <c r="B12" s="11" t="inlineStr">
        <is>
          <t>Product Browsing</t>
        </is>
      </c>
      <c r="C12" s="11" t="inlineStr">
        <is>
          <t>Keyword / product-name search</t>
        </is>
      </c>
      <c r="D12" s="13" t="inlineStr">
        <is>
          <t>Matches</t>
        </is>
      </c>
      <c r="E12" s="11" t="inlineStr">
        <is>
          <t>shop/products.html:38 (input has no handler)</t>
        </is>
      </c>
      <c r="F12" s="11" t="inlineStr">
        <is>
          <t>Fixed: header search works on every page. (was: Header search box is not wired to anything on any page.)</t>
        </is>
      </c>
      <c r="G12" s="11" t="inlineStr">
        <is>
          <t>None</t>
        </is>
      </c>
      <c r="H12" s="11" t="inlineStr">
        <is>
          <t>Panel will type in it; small fix.</t>
        </is>
      </c>
      <c r="I12" s="11" t="inlineStr">
        <is>
          <t>High</t>
        </is>
      </c>
      <c r="J12" s="11" t="inlineStr">
        <is>
          <t>S</t>
        </is>
      </c>
      <c r="K12" s="11" t="inlineStr">
        <is>
          <t>p.47; Fig 2.3 Filter and Search</t>
        </is>
      </c>
    </row>
    <row r="13">
      <c r="A13" s="11" t="inlineStr">
        <is>
          <t>REQ012</t>
        </is>
      </c>
      <c r="B13" s="11" t="inlineStr">
        <is>
          <t>Product Browsing</t>
        </is>
      </c>
      <c r="C13" s="11" t="inlineStr">
        <is>
          <t>'No products found' message</t>
        </is>
      </c>
      <c r="D13" s="13" t="inlineStr">
        <is>
          <t>Matches</t>
        </is>
      </c>
      <c r="E13" s="11" t="inlineStr">
        <is>
          <t>js/products.js:70</t>
        </is>
      </c>
      <c r="F13" s="11" t="inlineStr">
        <is>
          <t>-</t>
        </is>
      </c>
      <c r="G13" s="11" t="inlineStr">
        <is>
          <t>None</t>
        </is>
      </c>
      <c r="H13" s="11" t="inlineStr"/>
      <c r="I13" s="11" t="inlineStr">
        <is>
          <t>Low</t>
        </is>
      </c>
      <c r="J13" s="11" t="inlineStr">
        <is>
          <t>-</t>
        </is>
      </c>
      <c r="K13" s="11" t="inlineStr">
        <is>
          <t>p.47</t>
        </is>
      </c>
    </row>
    <row r="14">
      <c r="A14" s="11" t="inlineStr">
        <is>
          <t>REQ013</t>
        </is>
      </c>
      <c r="B14" s="11" t="inlineStr">
        <is>
          <t>Product View</t>
        </is>
      </c>
      <c r="C14" s="11" t="inlineStr">
        <is>
          <t>Product page: name, description, price, stock, dosage/usage notes, images</t>
        </is>
      </c>
      <c r="D14" s="13" t="inlineStr">
        <is>
          <t>Matches</t>
        </is>
      </c>
      <c r="E14" s="11" t="inlineStr">
        <is>
          <t>js/product-details.js</t>
        </is>
      </c>
      <c r="F14" s="11" t="inlineStr">
        <is>
          <t>06574da: Dosage / Usage notes field shown on the product page and quick view. (was: No dosage/usage notes field exists anywhere.)</t>
        </is>
      </c>
      <c r="G14" s="11" t="inlineStr">
        <is>
          <t>None</t>
        </is>
      </c>
      <c r="H14" s="11" t="inlineStr">
        <is>
          <t>Add one optional field to product form + page.</t>
        </is>
      </c>
      <c r="I14" s="11" t="inlineStr">
        <is>
          <t>Low</t>
        </is>
      </c>
      <c r="J14" s="11" t="inlineStr">
        <is>
          <t>S</t>
        </is>
      </c>
      <c r="K14" s="11" t="inlineStr">
        <is>
          <t>p.47</t>
        </is>
      </c>
    </row>
    <row r="15">
      <c r="A15" s="11" t="inlineStr">
        <is>
          <t>REQ014</t>
        </is>
      </c>
      <c r="B15" s="11" t="inlineStr">
        <is>
          <t>Cart</t>
        </is>
      </c>
      <c r="C15" s="11" t="inlineStr">
        <is>
          <t>Persistent cart per logged-in customer</t>
        </is>
      </c>
      <c r="D15" s="13" t="inlineStr">
        <is>
          <t>Matches</t>
        </is>
      </c>
      <c r="E15" s="11" t="inlineStr">
        <is>
          <t>js/cart.js:5 (localStorage)</t>
        </is>
      </c>
      <c r="F15" s="11" t="inlineStr">
        <is>
          <t>77336f3: signed-in cart saved on the account and merged with any guest cart at sign-in. (was: Cart is stored in the browser, so it follows the device, not the account.)</t>
        </is>
      </c>
      <c r="G15" s="11" t="inlineStr">
        <is>
          <t>None</t>
        </is>
      </c>
      <c r="H15" s="11" t="inlineStr">
        <is>
          <t>Activity 2.10 says cart persists across sessions; small sync to users/{uid}.</t>
        </is>
      </c>
      <c r="I15" s="11" t="inlineStr">
        <is>
          <t>Med</t>
        </is>
      </c>
      <c r="J15" s="11" t="inlineStr">
        <is>
          <t>S</t>
        </is>
      </c>
      <c r="K15" s="11" t="inlineStr">
        <is>
          <t>p.47; Fig 2.10</t>
        </is>
      </c>
    </row>
    <row r="16">
      <c r="A16" s="11" t="inlineStr">
        <is>
          <t>REQ015</t>
        </is>
      </c>
      <c r="B16" s="11" t="inlineStr">
        <is>
          <t>Cart</t>
        </is>
      </c>
      <c r="C16" s="11" t="inlineStr">
        <is>
          <t>Adjust quantities / remove items</t>
        </is>
      </c>
      <c r="D16" s="13" t="inlineStr">
        <is>
          <t>Matches</t>
        </is>
      </c>
      <c r="E16" s="11" t="inlineStr">
        <is>
          <t>js/cart-page.js:40</t>
        </is>
      </c>
      <c r="F16" s="11" t="inlineStr">
        <is>
          <t>-</t>
        </is>
      </c>
      <c r="G16" s="11" t="inlineStr">
        <is>
          <t>None</t>
        </is>
      </c>
      <c r="H16" s="11" t="inlineStr"/>
      <c r="I16" s="11" t="inlineStr">
        <is>
          <t>Low</t>
        </is>
      </c>
      <c r="J16" s="11" t="inlineStr">
        <is>
          <t>-</t>
        </is>
      </c>
      <c r="K16" s="11" t="inlineStr">
        <is>
          <t>p.48</t>
        </is>
      </c>
    </row>
    <row r="17">
      <c r="A17" s="11" t="inlineStr">
        <is>
          <t>REQ016</t>
        </is>
      </c>
      <c r="B17" s="11" t="inlineStr">
        <is>
          <t>Cart</t>
        </is>
      </c>
      <c r="C17" s="11" t="inlineStr">
        <is>
          <t>Running total updates on change</t>
        </is>
      </c>
      <c r="D17" s="13" t="inlineStr">
        <is>
          <t>Matches</t>
        </is>
      </c>
      <c r="E17" s="11" t="inlineStr">
        <is>
          <t>js/cart-page.js</t>
        </is>
      </c>
      <c r="F17" s="11" t="inlineStr">
        <is>
          <t>-</t>
        </is>
      </c>
      <c r="G17" s="11" t="inlineStr">
        <is>
          <t>None</t>
        </is>
      </c>
      <c r="H17" s="11" t="inlineStr"/>
      <c r="I17" s="11" t="inlineStr">
        <is>
          <t>Low</t>
        </is>
      </c>
      <c r="J17" s="11" t="inlineStr">
        <is>
          <t>-</t>
        </is>
      </c>
      <c r="K17" s="11" t="inlineStr">
        <is>
          <t>p.48</t>
        </is>
      </c>
    </row>
    <row r="18">
      <c r="A18" s="11" t="inlineStr">
        <is>
          <t>REQ017</t>
        </is>
      </c>
      <c r="B18" s="11" t="inlineStr">
        <is>
          <t>Checkout</t>
        </is>
      </c>
      <c r="C18" s="11" t="inlineStr">
        <is>
          <t>Collect delivery address before submission</t>
        </is>
      </c>
      <c r="D18" s="13" t="inlineStr">
        <is>
          <t>Matches</t>
        </is>
      </c>
      <c r="E18" s="11" t="inlineStr">
        <is>
          <t>js/checkout.js:140</t>
        </is>
      </c>
      <c r="F18" s="11" t="inlineStr">
        <is>
          <t>-</t>
        </is>
      </c>
      <c r="G18" s="11" t="inlineStr">
        <is>
          <t>None</t>
        </is>
      </c>
      <c r="H18" s="11" t="inlineStr"/>
      <c r="I18" s="11" t="inlineStr">
        <is>
          <t>Low</t>
        </is>
      </c>
      <c r="J18" s="11" t="inlineStr">
        <is>
          <t>-</t>
        </is>
      </c>
      <c r="K18" s="11" t="inlineStr">
        <is>
          <t>p.48</t>
        </is>
      </c>
    </row>
    <row r="19">
      <c r="A19" s="11" t="inlineStr">
        <is>
          <t>REQ018</t>
        </is>
      </c>
      <c r="B19" s="11" t="inlineStr">
        <is>
          <t>Checkout</t>
        </is>
      </c>
      <c r="C19" s="11" t="inlineStr">
        <is>
          <t>Save default delivery address</t>
        </is>
      </c>
      <c r="D19" s="13" t="inlineStr">
        <is>
          <t>Matches</t>
        </is>
      </c>
      <c r="E19" s="11" t="inlineStr">
        <is>
          <t>js/checkout.js:164</t>
        </is>
      </c>
      <c r="F19" s="11" t="inlineStr">
        <is>
          <t>Saved automatically on every checkout rather than as an explicit choice.</t>
        </is>
      </c>
      <c r="G19" s="11" t="inlineStr">
        <is>
          <t>None</t>
        </is>
      </c>
      <c r="H19" s="11" t="inlineStr">
        <is>
          <t>Acceptable.</t>
        </is>
      </c>
      <c r="I19" s="11" t="inlineStr">
        <is>
          <t>Low</t>
        </is>
      </c>
      <c r="J19" s="11" t="inlineStr">
        <is>
          <t>-</t>
        </is>
      </c>
      <c r="K19" s="11" t="inlineStr">
        <is>
          <t>p.48</t>
        </is>
      </c>
    </row>
    <row r="20">
      <c r="A20" s="11" t="inlineStr">
        <is>
          <t>REQ019</t>
        </is>
      </c>
      <c r="B20" s="11" t="inlineStr">
        <is>
          <t>Checkout</t>
        </is>
      </c>
      <c r="C20" s="11" t="inlineStr">
        <is>
          <t>Block submission without address</t>
        </is>
      </c>
      <c r="D20" s="13" t="inlineStr">
        <is>
          <t>Matches</t>
        </is>
      </c>
      <c r="E20" s="11" t="inlineStr">
        <is>
          <t>shop/checkout.html (required fields)</t>
        </is>
      </c>
      <c r="F20" s="11" t="inlineStr">
        <is>
          <t>-</t>
        </is>
      </c>
      <c r="G20" s="11" t="inlineStr">
        <is>
          <t>None</t>
        </is>
      </c>
      <c r="H20" s="11" t="inlineStr"/>
      <c r="I20" s="11" t="inlineStr">
        <is>
          <t>Low</t>
        </is>
      </c>
      <c r="J20" s="11" t="inlineStr">
        <is>
          <t>-</t>
        </is>
      </c>
      <c r="K20" s="11" t="inlineStr">
        <is>
          <t>p.48</t>
        </is>
      </c>
    </row>
    <row r="21">
      <c r="A21" s="11" t="inlineStr">
        <is>
          <t>REQ020</t>
        </is>
      </c>
      <c r="B21" s="11" t="inlineStr">
        <is>
          <t>Checkout</t>
        </is>
      </c>
      <c r="C21" s="11" t="inlineStr">
        <is>
          <t>Notice: delivery fee paid to Lalamove rider</t>
        </is>
      </c>
      <c r="D21" s="13" t="inlineStr">
        <is>
          <t>Matches</t>
        </is>
      </c>
      <c r="E21" s="11" t="inlineStr">
        <is>
          <t>shop/checkout.html:177; shop/payment.html:196</t>
        </is>
      </c>
      <c r="F21" s="11" t="inlineStr">
        <is>
          <t>Payment page says pay rider 'cash'; interview 3 says riders also take GCash.</t>
        </is>
      </c>
      <c r="G21" s="11" t="inlineStr">
        <is>
          <t>Change system</t>
        </is>
      </c>
      <c r="H21" s="11" t="inlineStr">
        <is>
          <t>Copy tweak only.</t>
        </is>
      </c>
      <c r="I21" s="11" t="inlineStr">
        <is>
          <t>Low</t>
        </is>
      </c>
      <c r="J21" s="11" t="inlineStr">
        <is>
          <t>S</t>
        </is>
      </c>
      <c r="K21" s="11" t="inlineStr">
        <is>
          <t>p.48; Interview 3</t>
        </is>
      </c>
    </row>
    <row r="22">
      <c r="A22" s="11" t="inlineStr">
        <is>
          <t>REQ021</t>
        </is>
      </c>
      <c r="B22" s="11" t="inlineStr">
        <is>
          <t>Prescription Pre-Order</t>
        </is>
      </c>
      <c r="C22" s="11" t="inlineStr">
        <is>
          <t>RX pre-order requires prescription photo</t>
        </is>
      </c>
      <c r="D22" s="13" t="inlineStr">
        <is>
          <t>Matches</t>
        </is>
      </c>
      <c r="E22" s="11" t="inlineStr">
        <is>
          <t>js/payment.js:38</t>
        </is>
      </c>
      <c r="F22" s="11" t="inlineStr">
        <is>
          <t>-</t>
        </is>
      </c>
      <c r="G22" s="11" t="inlineStr">
        <is>
          <t>None</t>
        </is>
      </c>
      <c r="H22" s="11" t="inlineStr"/>
      <c r="I22" s="11" t="inlineStr">
        <is>
          <t>Low</t>
        </is>
      </c>
      <c r="J22" s="11" t="inlineStr">
        <is>
          <t>-</t>
        </is>
      </c>
      <c r="K22" s="11" t="inlineStr">
        <is>
          <t>p.48</t>
        </is>
      </c>
    </row>
    <row r="23">
      <c r="A23" s="11" t="inlineStr">
        <is>
          <t>REQ022</t>
        </is>
      </c>
      <c r="B23" s="11" t="inlineStr">
        <is>
          <t>Prescription Pre-Order</t>
        </is>
      </c>
      <c r="C23" s="11" t="inlineStr">
        <is>
          <t>Full QR PH payment + screenshot before submission</t>
        </is>
      </c>
      <c r="D23" s="13" t="inlineStr">
        <is>
          <t>Matches</t>
        </is>
      </c>
      <c r="E23" s="11" t="inlineStr">
        <is>
          <t>js/payment.js</t>
        </is>
      </c>
      <c r="F23" s="11" t="inlineStr">
        <is>
          <t>-</t>
        </is>
      </c>
      <c r="G23" s="11" t="inlineStr">
        <is>
          <t>None</t>
        </is>
      </c>
      <c r="H23" s="11" t="inlineStr"/>
      <c r="I23" s="11" t="inlineStr">
        <is>
          <t>Low</t>
        </is>
      </c>
      <c r="J23" s="11" t="inlineStr">
        <is>
          <t>-</t>
        </is>
      </c>
      <c r="K23" s="11" t="inlineStr">
        <is>
          <t>p.48</t>
        </is>
      </c>
    </row>
    <row r="24">
      <c r="A24" s="11" t="inlineStr">
        <is>
          <t>REQ023</t>
        </is>
      </c>
      <c r="B24" s="11" t="inlineStr">
        <is>
          <t>Prescription Pre-Order</t>
        </is>
      </c>
      <c r="C24" s="11" t="inlineStr">
        <is>
          <t>RX pre-orders are pick-up only</t>
        </is>
      </c>
      <c r="D24" s="13" t="inlineStr">
        <is>
          <t>Matches</t>
        </is>
      </c>
      <c r="E24" s="11" t="inlineStr">
        <is>
          <t>js/checkout.js:63</t>
        </is>
      </c>
      <c r="F24" s="11" t="inlineStr">
        <is>
          <t>-</t>
        </is>
      </c>
      <c r="G24" s="11" t="inlineStr">
        <is>
          <t>None</t>
        </is>
      </c>
      <c r="H24" s="11" t="inlineStr"/>
      <c r="I24" s="11" t="inlineStr">
        <is>
          <t>Low</t>
        </is>
      </c>
      <c r="J24" s="11" t="inlineStr">
        <is>
          <t>-</t>
        </is>
      </c>
      <c r="K24" s="11" t="inlineStr">
        <is>
          <t>p.49</t>
        </is>
      </c>
    </row>
    <row r="25">
      <c r="A25" s="11" t="inlineStr">
        <is>
          <t>REQ024</t>
        </is>
      </c>
      <c r="B25" s="11" t="inlineStr">
        <is>
          <t>Prescription Pre-Order</t>
        </is>
      </c>
      <c r="C25" s="11" t="inlineStr">
        <is>
          <t>Submitted as 'Pending Prescription Verification'; not prepared until staff approve the prescription</t>
        </is>
      </c>
      <c r="D25" s="13" t="inlineStr">
        <is>
          <t>Matches</t>
        </is>
      </c>
      <c r="E25" s="11" t="inlineStr">
        <is>
          <t>js/orders.js:5</t>
        </is>
      </c>
      <c r="F25" s="11" t="inlineStr">
        <is>
          <t>082ec92: RX orders show 'Pending Prescription Verification' and aren't prepared until staff approve the prescription. (was: RX orders use the same 'Order Pending Verification' status as normal orders; prescription approval is not a separate step.)</t>
        </is>
      </c>
      <c r="G25" s="11" t="inlineStr">
        <is>
          <t>None</t>
        </is>
      </c>
      <c r="H25" s="11" t="inlineStr">
        <is>
          <t>Paper repeats this in Modules, Conceptual Framework, Fig 2.10; system change is moderate.</t>
        </is>
      </c>
      <c r="I25" s="11" t="inlineStr">
        <is>
          <t>High</t>
        </is>
      </c>
      <c r="J25" s="11" t="inlineStr">
        <is>
          <t>M</t>
        </is>
      </c>
      <c r="K25" s="11" t="inlineStr">
        <is>
          <t>p.49; Fig 2.10</t>
        </is>
      </c>
    </row>
    <row r="26">
      <c r="A26" s="11" t="inlineStr">
        <is>
          <t>REQ025</t>
        </is>
      </c>
      <c r="B26" s="11" t="inlineStr">
        <is>
          <t>Prescription Pre-Order</t>
        </is>
      </c>
      <c r="C26" s="11" t="inlineStr">
        <is>
          <t>Notify approved/ready for pick-up, or rejected with reason</t>
        </is>
      </c>
      <c r="D26" s="13" t="inlineStr">
        <is>
          <t>Matches</t>
        </is>
      </c>
      <c r="E26" s="11" t="inlineStr">
        <is>
          <t>js/admin-online-orders.js:392</t>
        </is>
      </c>
      <c r="F26" s="11" t="inlineStr">
        <is>
          <t>082ec92: approval sends 'ready for pick-up'; rejection sends the reason. (was: Approval sends 'Payment confirmed' only; there is no rejection path at all.)</t>
        </is>
      </c>
      <c r="G26" s="11" t="inlineStr">
        <is>
          <t>None</t>
        </is>
      </c>
      <c r="H26" s="11" t="inlineStr">
        <is>
          <t>Part of the RX verification fix.</t>
        </is>
      </c>
      <c r="I26" s="11" t="inlineStr">
        <is>
          <t>High</t>
        </is>
      </c>
      <c r="J26" s="11" t="inlineStr">
        <is>
          <t>M</t>
        </is>
      </c>
      <c r="K26" s="11" t="inlineStr">
        <is>
          <t>p.49</t>
        </is>
      </c>
    </row>
    <row r="27">
      <c r="A27" s="11" t="inlineStr">
        <is>
          <t>REQ026</t>
        </is>
      </c>
      <c r="B27" s="11" t="inlineStr">
        <is>
          <t>Prescription Pre-Order</t>
        </is>
      </c>
      <c r="C27" s="11" t="inlineStr">
        <is>
          <t>Notice: original prescription must be presented at pick-up</t>
        </is>
      </c>
      <c r="D27" s="13" t="inlineStr">
        <is>
          <t>Matches</t>
        </is>
      </c>
      <c r="E27" s="11" t="inlineStr">
        <is>
          <t>shop/checkout.html:133</t>
        </is>
      </c>
      <c r="F27" s="11" t="inlineStr">
        <is>
          <t>082ec92: checkout and payment pages say to bring the original prescription. (was: Checkout pick-up notice does not mention the original prescription (only the later pick-up notification does).)</t>
        </is>
      </c>
      <c r="G27" s="11" t="inlineStr">
        <is>
          <t>None</t>
        </is>
      </c>
      <c r="H27" s="11" t="inlineStr">
        <is>
          <t>Copy change.</t>
        </is>
      </c>
      <c r="I27" s="11" t="inlineStr">
        <is>
          <t>Low</t>
        </is>
      </c>
      <c r="J27" s="11" t="inlineStr">
        <is>
          <t>S</t>
        </is>
      </c>
      <c r="K27" s="11" t="inlineStr">
        <is>
          <t>p.49</t>
        </is>
      </c>
    </row>
    <row r="28">
      <c r="A28" s="11" t="inlineStr">
        <is>
          <t>REQ027</t>
        </is>
      </c>
      <c r="B28" s="11" t="inlineStr">
        <is>
          <t>Prescription Pre-Order</t>
        </is>
      </c>
      <c r="C28" s="11" t="inlineStr">
        <is>
          <t>Customer can view RX pre-order status in My Orders</t>
        </is>
      </c>
      <c r="D28" s="13" t="inlineStr">
        <is>
          <t>Matches</t>
        </is>
      </c>
      <c r="E28" s="11" t="inlineStr">
        <is>
          <t>js/orders-list.js</t>
        </is>
      </c>
      <c r="F28" s="11" t="inlineStr">
        <is>
          <t>-</t>
        </is>
      </c>
      <c r="G28" s="11" t="inlineStr">
        <is>
          <t>None</t>
        </is>
      </c>
      <c r="H28" s="11" t="inlineStr"/>
      <c r="I28" s="11" t="inlineStr">
        <is>
          <t>Low</t>
        </is>
      </c>
      <c r="J28" s="11" t="inlineStr">
        <is>
          <t>-</t>
        </is>
      </c>
      <c r="K28" s="11" t="inlineStr">
        <is>
          <t>p.49</t>
        </is>
      </c>
    </row>
    <row r="29">
      <c r="A29" s="11" t="inlineStr">
        <is>
          <t>REQ028</t>
        </is>
      </c>
      <c r="B29" s="11" t="inlineStr">
        <is>
          <t>Payment</t>
        </is>
      </c>
      <c r="C29" s="11" t="inlineStr">
        <is>
          <t>Show branch QR PH code and account details</t>
        </is>
      </c>
      <c r="D29" s="14" t="inlineStr">
        <is>
          <t>Partial</t>
        </is>
      </c>
      <c r="E29" s="11" t="inlineStr">
        <is>
          <t>shop/payment.html:135</t>
        </is>
      </c>
      <c r="F29" s="11" t="inlineStr">
        <is>
          <t>Page points to assets/payment-qr.png, which is not in the repo, so customers see a placeholder.</t>
        </is>
      </c>
      <c r="G29" s="11" t="inlineStr">
        <is>
          <t>Change system</t>
        </is>
      </c>
      <c r="H29" s="11" t="inlineStr">
        <is>
          <t>Needs the client's actual QR image; highly visible in demo.</t>
        </is>
      </c>
      <c r="I29" s="11" t="inlineStr">
        <is>
          <t>High</t>
        </is>
      </c>
      <c r="J29" s="11" t="inlineStr">
        <is>
          <t>S</t>
        </is>
      </c>
      <c r="K29" s="11" t="inlineStr">
        <is>
          <t>p.49</t>
        </is>
      </c>
    </row>
    <row r="30">
      <c r="A30" s="11" t="inlineStr">
        <is>
          <t>REQ029</t>
        </is>
      </c>
      <c r="B30" s="11" t="inlineStr">
        <is>
          <t>Payment</t>
        </is>
      </c>
      <c r="C30" s="11" t="inlineStr">
        <is>
          <t>Require payment screenshot upload</t>
        </is>
      </c>
      <c r="D30" s="13" t="inlineStr">
        <is>
          <t>Matches</t>
        </is>
      </c>
      <c r="E30" s="11" t="inlineStr">
        <is>
          <t>js/payment.js</t>
        </is>
      </c>
      <c r="F30" s="11" t="inlineStr">
        <is>
          <t>-</t>
        </is>
      </c>
      <c r="G30" s="11" t="inlineStr">
        <is>
          <t>None</t>
        </is>
      </c>
      <c r="H30" s="11" t="inlineStr"/>
      <c r="I30" s="11" t="inlineStr">
        <is>
          <t>Low</t>
        </is>
      </c>
      <c r="J30" s="11" t="inlineStr">
        <is>
          <t>-</t>
        </is>
      </c>
      <c r="K30" s="11" t="inlineStr">
        <is>
          <t>p.49</t>
        </is>
      </c>
    </row>
    <row r="31">
      <c r="A31" s="11" t="inlineStr">
        <is>
          <t>REQ030</t>
        </is>
      </c>
      <c r="B31" s="11" t="inlineStr">
        <is>
          <t>Payment</t>
        </is>
      </c>
      <c r="C31" s="11" t="inlineStr">
        <is>
          <t>Hold order pending verification until admin confirms</t>
        </is>
      </c>
      <c r="D31" s="13" t="inlineStr">
        <is>
          <t>Matches</t>
        </is>
      </c>
      <c r="E31" s="11" t="inlineStr">
        <is>
          <t>js/admin-online-orders.js:257</t>
        </is>
      </c>
      <c r="F31" s="11" t="inlineStr">
        <is>
          <t>-</t>
        </is>
      </c>
      <c r="G31" s="11" t="inlineStr">
        <is>
          <t>None</t>
        </is>
      </c>
      <c r="H31" s="11" t="inlineStr"/>
      <c r="I31" s="11" t="inlineStr">
        <is>
          <t>Low</t>
        </is>
      </c>
      <c r="J31" s="11" t="inlineStr">
        <is>
          <t>-</t>
        </is>
      </c>
      <c r="K31" s="11" t="inlineStr">
        <is>
          <t>p.49</t>
        </is>
      </c>
    </row>
    <row r="32">
      <c r="A32" s="11" t="inlineStr">
        <is>
          <t>REQ031</t>
        </is>
      </c>
      <c r="B32" s="11" t="inlineStr">
        <is>
          <t>My Orders</t>
        </is>
      </c>
      <c r="C32" s="11" t="inlineStr">
        <is>
          <t>Statuses: pending payment, payment verified, confirmed, dispatched, delivered, payment rejected</t>
        </is>
      </c>
      <c r="D32" s="16" t="inlineStr">
        <is>
          <t>Deviates</t>
        </is>
      </c>
      <c r="E32" s="11" t="inlineStr">
        <is>
          <t>js/orders.js:5</t>
        </is>
      </c>
      <c r="F32" s="11" t="inlineStr">
        <is>
          <t>System statuses: placed, payment_confirmed, dispatched, delivered, received, closed_unresolved, plus On Hold. No 'payment rejected'.</t>
        </is>
      </c>
      <c r="G32" s="11" t="inlineStr">
        <is>
          <t>Change paper</t>
        </is>
      </c>
      <c r="H32" s="11" t="inlineStr">
        <is>
          <t>System matches the hold/7-day policy in REQ096-100; update the status list.</t>
        </is>
      </c>
      <c r="I32" s="11" t="inlineStr">
        <is>
          <t>Med</t>
        </is>
      </c>
      <c r="J32" s="11" t="inlineStr">
        <is>
          <t>-</t>
        </is>
      </c>
      <c r="K32" s="11" t="inlineStr">
        <is>
          <t>p.50</t>
        </is>
      </c>
    </row>
    <row r="33">
      <c r="A33" s="11" t="inlineStr">
        <is>
          <t>REQ032</t>
        </is>
      </c>
      <c r="B33" s="11" t="inlineStr">
        <is>
          <t>My Orders</t>
        </is>
      </c>
      <c r="C33" s="11" t="inlineStr">
        <is>
          <t>View full order details</t>
        </is>
      </c>
      <c r="D33" s="13" t="inlineStr">
        <is>
          <t>Matches</t>
        </is>
      </c>
      <c r="E33" s="11" t="inlineStr">
        <is>
          <t>js/order-details.js:191</t>
        </is>
      </c>
      <c r="F33" s="11" t="inlineStr">
        <is>
          <t>-</t>
        </is>
      </c>
      <c r="G33" s="11" t="inlineStr">
        <is>
          <t>None</t>
        </is>
      </c>
      <c r="H33" s="11" t="inlineStr"/>
      <c r="I33" s="11" t="inlineStr">
        <is>
          <t>Low</t>
        </is>
      </c>
      <c r="J33" s="11" t="inlineStr">
        <is>
          <t>-</t>
        </is>
      </c>
      <c r="K33" s="11" t="inlineStr">
        <is>
          <t>p.50</t>
        </is>
      </c>
    </row>
    <row r="34">
      <c r="A34" s="11" t="inlineStr">
        <is>
          <t>REQ033</t>
        </is>
      </c>
      <c r="B34" s="11" t="inlineStr">
        <is>
          <t>My Orders</t>
        </is>
      </c>
      <c r="C34" s="11" t="inlineStr">
        <is>
          <t>View/download system receipt for completed orders</t>
        </is>
      </c>
      <c r="D34" s="13" t="inlineStr">
        <is>
          <t>Matches</t>
        </is>
      </c>
      <c r="E34" s="11" t="inlineStr">
        <is>
          <t>js/orders.js:247</t>
        </is>
      </c>
      <c r="F34" s="11" t="inlineStr">
        <is>
          <t>082ec92: receipt only after verification; PDF shows subtotal and store credit applied. (was: Receipt downloadable for any order (even unpaid); PDF shows only final total, not subtotal/credit applied.)</t>
        </is>
      </c>
      <c r="G34" s="11" t="inlineStr">
        <is>
          <t>None</t>
        </is>
      </c>
      <c r="H34" s="11" t="inlineStr">
        <is>
          <t>Small.</t>
        </is>
      </c>
      <c r="I34" s="11" t="inlineStr">
        <is>
          <t>Low</t>
        </is>
      </c>
      <c r="J34" s="11" t="inlineStr">
        <is>
          <t>S</t>
        </is>
      </c>
      <c r="K34" s="11" t="inlineStr">
        <is>
          <t>p.50</t>
        </is>
      </c>
    </row>
    <row r="35">
      <c r="A35" s="11" t="inlineStr">
        <is>
          <t>REQ034</t>
        </is>
      </c>
      <c r="B35" s="11" t="inlineStr">
        <is>
          <t>My Orders</t>
        </is>
      </c>
      <c r="C35" s="11" t="inlineStr">
        <is>
          <t>Customer monitors delivery progress</t>
        </is>
      </c>
      <c r="D35" s="13" t="inlineStr">
        <is>
          <t>Matches</t>
        </is>
      </c>
      <c r="E35" s="11" t="inlineStr">
        <is>
          <t>js/order-details.js (no trackingLink)</t>
        </is>
      </c>
      <c r="F35" s="11" t="inlineStr">
        <is>
          <t>Fixed: customer sees the Lalamove tracking link. (was: Status timeline shows, but the Lalamove tracking link staff paste is never shown to the customer.)</t>
        </is>
      </c>
      <c r="G35" s="11" t="inlineStr">
        <is>
          <t>None</t>
        </is>
      </c>
      <c r="H35" s="11" t="inlineStr">
        <is>
          <t>REQ104/105 and Activity 2.11 say the link is 'immediately reflected' to the customer.</t>
        </is>
      </c>
      <c r="I35" s="11" t="inlineStr">
        <is>
          <t>High</t>
        </is>
      </c>
      <c r="J35" s="11" t="inlineStr">
        <is>
          <t>S</t>
        </is>
      </c>
      <c r="K35" s="11" t="inlineStr">
        <is>
          <t>p.50; Fig 2.11</t>
        </is>
      </c>
    </row>
    <row r="36">
      <c r="A36" s="11" t="inlineStr">
        <is>
          <t>REQ035</t>
        </is>
      </c>
      <c r="B36" s="11" t="inlineStr">
        <is>
          <t>Live Chat</t>
        </is>
      </c>
      <c r="C36" s="11" t="inlineStr">
        <is>
          <t>Live chat for guests and customers</t>
        </is>
      </c>
      <c r="D36" s="13" t="inlineStr">
        <is>
          <t>Matches</t>
        </is>
      </c>
      <c r="E36" s="11" t="inlineStr">
        <is>
          <t>shop/*.html floating-chat-btn href='#'</t>
        </is>
      </c>
      <c r="F36" s="11" t="inlineStr">
        <is>
          <t>80b3988: chat widget on every shop page for guests and customers. (was: Buttons exist but go nowhere.)</t>
        </is>
      </c>
      <c r="G36" s="11" t="inlineStr">
        <is>
          <t>None</t>
        </is>
      </c>
      <c r="H36" s="11" t="inlineStr">
        <is>
          <t>Large feature in objectives, scope, framework and comparative analysis. Options: build it, or scope down and move to Limitations.</t>
        </is>
      </c>
      <c r="I36" s="11" t="inlineStr">
        <is>
          <t>High</t>
        </is>
      </c>
      <c r="J36" s="11" t="inlineStr">
        <is>
          <t>L</t>
        </is>
      </c>
      <c r="K36" s="11" t="inlineStr">
        <is>
          <t>p.50; Obj. 1; Scope</t>
        </is>
      </c>
    </row>
    <row r="37">
      <c r="A37" s="11" t="inlineStr">
        <is>
          <t>REQ036</t>
        </is>
      </c>
      <c r="B37" s="11" t="inlineStr">
        <is>
          <t>Live Chat</t>
        </is>
      </c>
      <c r="C37" s="11" t="inlineStr">
        <is>
          <t>AI-powered responses (OpenAI) for common inquiries</t>
        </is>
      </c>
      <c r="D37" s="16" t="inlineStr">
        <is>
          <t>Deviates</t>
        </is>
      </c>
      <c r="E37" s="11" t="inlineStr">
        <is>
          <t>-</t>
        </is>
      </c>
      <c r="F37" s="11" t="inlineStr">
        <is>
          <t>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is>
      </c>
      <c r="G37" s="11" t="inlineStr">
        <is>
          <t>Decision needed</t>
        </is>
      </c>
      <c r="H37" s="11" t="inlineStr">
        <is>
          <t>Same decision as REQ035.</t>
        </is>
      </c>
      <c r="I37" s="11" t="inlineStr">
        <is>
          <t>High</t>
        </is>
      </c>
      <c r="J37" s="11" t="inlineStr">
        <is>
          <t>L</t>
        </is>
      </c>
      <c r="K37" s="11" t="inlineStr">
        <is>
          <t>p.50; NF008; NF012</t>
        </is>
      </c>
    </row>
    <row r="38">
      <c r="A38" s="11" t="inlineStr">
        <is>
          <t>REQ037</t>
        </is>
      </c>
      <c r="B38" s="11" t="inlineStr">
        <is>
          <t>Live Chat</t>
        </is>
      </c>
      <c r="C38" s="11" t="inlineStr">
        <is>
          <t>Escalate to staff when needed</t>
        </is>
      </c>
      <c r="D38" s="13" t="inlineStr">
        <is>
          <t>Matches</t>
        </is>
      </c>
      <c r="E38" s="11" t="inlineStr">
        <is>
          <t>-</t>
        </is>
      </c>
      <c r="F38" s="11" t="inlineStr">
        <is>
          <t>80b3988: hands off to staff when asked, when the assistant is unsure, or when the daily AI limit is reached. (was: Not built.)</t>
        </is>
      </c>
      <c r="G38" s="11" t="inlineStr">
        <is>
          <t>None</t>
        </is>
      </c>
      <c r="H38" s="11" t="inlineStr">
        <is>
          <t>Same decision as REQ035.</t>
        </is>
      </c>
      <c r="I38" s="11" t="inlineStr">
        <is>
          <t>High</t>
        </is>
      </c>
      <c r="J38" s="11" t="inlineStr">
        <is>
          <t>L</t>
        </is>
      </c>
      <c r="K38" s="11" t="inlineStr">
        <is>
          <t>p.50</t>
        </is>
      </c>
    </row>
    <row r="39">
      <c r="A39" s="11" t="inlineStr">
        <is>
          <t>REQ038</t>
        </is>
      </c>
      <c r="B39" s="11" t="inlineStr">
        <is>
          <t>Live Chat</t>
        </is>
      </c>
      <c r="C39" s="11" t="inlineStr">
        <is>
          <t>Notify staff of new/escalated chats</t>
        </is>
      </c>
      <c r="D39" s="13" t="inlineStr">
        <is>
          <t>Matches</t>
        </is>
      </c>
      <c r="E39" s="11" t="inlineStr">
        <is>
          <t>-</t>
        </is>
      </c>
      <c r="F39" s="11" t="inlineStr">
        <is>
          <t>80b3988: waiting chats show in the staff notification bell and the Live Chat page. (was: Not built.)</t>
        </is>
      </c>
      <c r="G39" s="11" t="inlineStr">
        <is>
          <t>None</t>
        </is>
      </c>
      <c r="H39" s="11" t="inlineStr">
        <is>
          <t>Same decision as REQ035.</t>
        </is>
      </c>
      <c r="I39" s="11" t="inlineStr">
        <is>
          <t>Med</t>
        </is>
      </c>
      <c r="J39" s="11" t="inlineStr">
        <is>
          <t>S</t>
        </is>
      </c>
      <c r="K39" s="11" t="inlineStr">
        <is>
          <t>p.50</t>
        </is>
      </c>
    </row>
    <row r="40">
      <c r="A40" s="11" t="inlineStr">
        <is>
          <t>REQ039</t>
        </is>
      </c>
      <c r="B40" s="11" t="inlineStr">
        <is>
          <t>Customer Notification</t>
        </is>
      </c>
      <c r="C40" s="11" t="inlineStr">
        <is>
          <t>In-platform and email notifications for order/payment/delivery updates</t>
        </is>
      </c>
      <c r="D40" s="14" t="inlineStr">
        <is>
          <t>Partial</t>
        </is>
      </c>
      <c r="E40" s="11" t="inlineStr">
        <is>
          <t>js/orders.js:108; js/shop-header.js:54</t>
        </is>
      </c>
      <c r="F40" s="11" t="inlineStr">
        <is>
          <t>In-platform notifications for order placed, payment confirmed, holds, prescription results, ready for pick-up. Email notifications not built. (was: In-platform bell works; no email notifications are sent (EmailJS is only used for OTP). No notification at all when an order is placed (Fig 2.10 'Send Order Submission Notification').)</t>
        </is>
      </c>
      <c r="G40" s="11" t="inlineStr">
        <is>
          <t>Change system</t>
        </is>
      </c>
      <c r="H40" s="11" t="inlineStr">
        <is>
          <t>EmailJS already set up; free tier is 200 emails/month (Budget).</t>
        </is>
      </c>
      <c r="I40" s="11" t="inlineStr">
        <is>
          <t>Med</t>
        </is>
      </c>
      <c r="J40" s="11" t="inlineStr">
        <is>
          <t>M</t>
        </is>
      </c>
      <c r="K40" s="11" t="inlineStr">
        <is>
          <t>p.51; Fig 2.10</t>
        </is>
      </c>
    </row>
    <row r="41">
      <c r="A41" s="11" t="inlineStr">
        <is>
          <t>REQ040</t>
        </is>
      </c>
      <c r="B41" s="11" t="inlineStr">
        <is>
          <t>Account Settings</t>
        </is>
      </c>
      <c r="C41" s="11" t="inlineStr">
        <is>
          <t>Update name, address, contact no., profile picture</t>
        </is>
      </c>
      <c r="D41" s="13" t="inlineStr">
        <is>
          <t>Matches</t>
        </is>
      </c>
      <c r="E41" s="11" t="inlineStr">
        <is>
          <t>js/account-settings.js:87</t>
        </is>
      </c>
      <c r="F41" s="11" t="inlineStr">
        <is>
          <t>77336f3: profile photo upload in Account Settings. (was: No profile picture.)</t>
        </is>
      </c>
      <c r="G41" s="11" t="inlineStr">
        <is>
          <t>None</t>
        </is>
      </c>
      <c r="H41" s="11" t="inlineStr">
        <is>
          <t>Cloudinary upload already exists; small.</t>
        </is>
      </c>
      <c r="I41" s="11" t="inlineStr">
        <is>
          <t>Low</t>
        </is>
      </c>
      <c r="J41" s="11" t="inlineStr">
        <is>
          <t>S</t>
        </is>
      </c>
      <c r="K41" s="11" t="inlineStr">
        <is>
          <t>p.51</t>
        </is>
      </c>
    </row>
    <row r="42">
      <c r="A42" s="11" t="inlineStr">
        <is>
          <t>REQ041</t>
        </is>
      </c>
      <c r="B42" s="11" t="inlineStr">
        <is>
          <t>Account Settings</t>
        </is>
      </c>
      <c r="C42" s="11" t="inlineStr">
        <is>
          <t>Confirm current password before setting new one</t>
        </is>
      </c>
      <c r="D42" s="13" t="inlineStr">
        <is>
          <t>Matches</t>
        </is>
      </c>
      <c r="E42" s="11" t="inlineStr">
        <is>
          <t>js/account-settings.js:157</t>
        </is>
      </c>
      <c r="F42" s="11" t="inlineStr">
        <is>
          <t>-</t>
        </is>
      </c>
      <c r="G42" s="11" t="inlineStr">
        <is>
          <t>None</t>
        </is>
      </c>
      <c r="H42" s="11" t="inlineStr"/>
      <c r="I42" s="11" t="inlineStr">
        <is>
          <t>Low</t>
        </is>
      </c>
      <c r="J42" s="11" t="inlineStr">
        <is>
          <t>-</t>
        </is>
      </c>
      <c r="K42" s="11" t="inlineStr">
        <is>
          <t>p.51</t>
        </is>
      </c>
    </row>
    <row r="43">
      <c r="A43" s="11" t="inlineStr">
        <is>
          <t>REQ042</t>
        </is>
      </c>
      <c r="B43" s="11" t="inlineStr">
        <is>
          <t>Account Settings</t>
        </is>
      </c>
      <c r="C43" s="11" t="inlineStr">
        <is>
          <t>Enable/disable email notifications</t>
        </is>
      </c>
      <c r="D43" s="15" t="inlineStr">
        <is>
          <t>Missing</t>
        </is>
      </c>
      <c r="E43" s="11" t="inlineStr">
        <is>
          <t>-</t>
        </is>
      </c>
      <c r="F43" s="11" t="inlineStr">
        <is>
          <t>No toggle (and no email notifications yet).</t>
        </is>
      </c>
      <c r="G43" s="11" t="inlineStr">
        <is>
          <t>Change system</t>
        </is>
      </c>
      <c r="H43" s="11" t="inlineStr">
        <is>
          <t>Comes with REQ039.</t>
        </is>
      </c>
      <c r="I43" s="11" t="inlineStr">
        <is>
          <t>Low</t>
        </is>
      </c>
      <c r="J43" s="11" t="inlineStr">
        <is>
          <t>S</t>
        </is>
      </c>
      <c r="K43" s="11" t="inlineStr">
        <is>
          <t>p.51</t>
        </is>
      </c>
    </row>
    <row r="44">
      <c r="A44" s="11" t="inlineStr">
        <is>
          <t>REQ043</t>
        </is>
      </c>
      <c r="B44" s="11" t="inlineStr">
        <is>
          <t>Admin Login</t>
        </is>
      </c>
      <c r="C44" s="11" t="inlineStr">
        <is>
          <t>Staff log in with credentials created by Branch Manager; role permissions applied</t>
        </is>
      </c>
      <c r="D44" s="13" t="inlineStr">
        <is>
          <t>Matches</t>
        </is>
      </c>
      <c r="E44" s="11" t="inlineStr">
        <is>
          <t>js/auth.js:94; js/admin-staff-management.js:188</t>
        </is>
      </c>
      <c r="F44" s="11" t="inlineStr">
        <is>
          <t>-</t>
        </is>
      </c>
      <c r="G44" s="11" t="inlineStr">
        <is>
          <t>None</t>
        </is>
      </c>
      <c r="H44" s="11" t="inlineStr"/>
      <c r="I44" s="11" t="inlineStr">
        <is>
          <t>Low</t>
        </is>
      </c>
      <c r="J44" s="11" t="inlineStr">
        <is>
          <t>-</t>
        </is>
      </c>
      <c r="K44" s="11" t="inlineStr">
        <is>
          <t>p.51</t>
        </is>
      </c>
    </row>
    <row r="45">
      <c r="A45" s="11" t="inlineStr">
        <is>
          <t>REQ044</t>
        </is>
      </c>
      <c r="B45" s="11" t="inlineStr">
        <is>
          <t>Admin Login</t>
        </is>
      </c>
      <c r="C45" s="11" t="inlineStr">
        <is>
          <t>Staff OTP only on unrecognized device</t>
        </is>
      </c>
      <c r="D45" s="15" t="inlineStr">
        <is>
          <t>Missing</t>
        </is>
      </c>
      <c r="E45" s="11" t="inlineStr">
        <is>
          <t>-</t>
        </is>
      </c>
      <c r="F45" s="11" t="inlineStr">
        <is>
          <t>Not built (same as REQ005).</t>
        </is>
      </c>
      <c r="G45" s="11" t="inlineStr">
        <is>
          <t>Change system</t>
        </is>
      </c>
      <c r="H45" s="11" t="inlineStr">
        <is>
          <t>Do together with REQ005.</t>
        </is>
      </c>
      <c r="I45" s="11" t="inlineStr">
        <is>
          <t>Med</t>
        </is>
      </c>
      <c r="J45" s="11" t="inlineStr">
        <is>
          <t>M</t>
        </is>
      </c>
      <c r="K45" s="11" t="inlineStr">
        <is>
          <t>p.51; Fig 2.8</t>
        </is>
      </c>
    </row>
    <row r="46">
      <c r="A46" s="11" t="inlineStr">
        <is>
          <t>REQ045</t>
        </is>
      </c>
      <c r="B46" s="11" t="inlineStr">
        <is>
          <t>Admin Login</t>
        </is>
      </c>
      <c r="C46" s="11" t="inlineStr">
        <is>
          <t>Staff lockout after 5 failed attempts</t>
        </is>
      </c>
      <c r="D46" s="13" t="inlineStr">
        <is>
          <t>Matches</t>
        </is>
      </c>
      <c r="E46" s="11" t="inlineStr">
        <is>
          <t>js/auth.js:57</t>
        </is>
      </c>
      <c r="F46" s="11" t="inlineStr">
        <is>
          <t>Shared with customer login.</t>
        </is>
      </c>
      <c r="G46" s="11" t="inlineStr">
        <is>
          <t>None</t>
        </is>
      </c>
      <c r="H46" s="11" t="inlineStr"/>
      <c r="I46" s="11" t="inlineStr">
        <is>
          <t>Low</t>
        </is>
      </c>
      <c r="J46" s="11" t="inlineStr">
        <is>
          <t>-</t>
        </is>
      </c>
      <c r="K46" s="11" t="inlineStr">
        <is>
          <t>p.51</t>
        </is>
      </c>
    </row>
    <row r="47">
      <c r="A47" s="11" t="inlineStr">
        <is>
          <t>REQ046</t>
        </is>
      </c>
      <c r="B47" s="11" t="inlineStr">
        <is>
          <t>Admin Login</t>
        </is>
      </c>
      <c r="C47" s="11" t="inlineStr">
        <is>
          <t>Staff password reset link</t>
        </is>
      </c>
      <c r="D47" s="13" t="inlineStr">
        <is>
          <t>Matches</t>
        </is>
      </c>
      <c r="E47" s="11" t="inlineStr">
        <is>
          <t>js/forgot-password.js:51</t>
        </is>
      </c>
      <c r="F47" s="11" t="inlineStr">
        <is>
          <t>-</t>
        </is>
      </c>
      <c r="G47" s="11" t="inlineStr">
        <is>
          <t>None</t>
        </is>
      </c>
      <c r="H47" s="11" t="inlineStr"/>
      <c r="I47" s="11" t="inlineStr">
        <is>
          <t>Low</t>
        </is>
      </c>
      <c r="J47" s="11" t="inlineStr">
        <is>
          <t>-</t>
        </is>
      </c>
      <c r="K47" s="11" t="inlineStr">
        <is>
          <t>p.51</t>
        </is>
      </c>
    </row>
    <row r="48">
      <c r="A48" s="11" t="inlineStr">
        <is>
          <t>REQ047</t>
        </is>
      </c>
      <c r="B48" s="11" t="inlineStr">
        <is>
          <t>Dashboard</t>
        </is>
      </c>
      <c r="C48" s="11" t="inlineStr">
        <is>
          <t>Daily sales, active orders, low stock, near expiry, pending verifications, quick navigation</t>
        </is>
      </c>
      <c r="D48" s="13" t="inlineStr">
        <is>
          <t>Matches</t>
        </is>
      </c>
      <c r="E48" s="11" t="inlineStr">
        <is>
          <t>js/admin-dashboard.js:129</t>
        </is>
      </c>
      <c r="F48" s="11" t="inlineStr">
        <is>
          <t>Exceeds paper (charts, period filter, out-of-stock). 'Active Online Orders' wrongly counts delivered and closed orders.</t>
        </is>
      </c>
      <c r="G48" s="11" t="inlineStr">
        <is>
          <t>Change system</t>
        </is>
      </c>
      <c r="H48" s="11" t="inlineStr">
        <is>
          <t>Count fix is one line.</t>
        </is>
      </c>
      <c r="I48" s="11" t="inlineStr">
        <is>
          <t>Low</t>
        </is>
      </c>
      <c r="J48" s="11" t="inlineStr">
        <is>
          <t>S</t>
        </is>
      </c>
      <c r="K48" s="11" t="inlineStr">
        <is>
          <t>p.52</t>
        </is>
      </c>
    </row>
    <row r="49">
      <c r="A49" s="11" t="inlineStr">
        <is>
          <t>REQ048</t>
        </is>
      </c>
      <c r="B49" s="11" t="inlineStr">
        <is>
          <t>Admin Notifications</t>
        </is>
      </c>
      <c r="C49" s="11" t="inlineStr">
        <is>
          <t>Notify BM + Technical of new orders, payments, stock, expiry, wholesale updates, chat</t>
        </is>
      </c>
      <c r="D49" s="13" t="inlineStr">
        <is>
          <t>Matches</t>
        </is>
      </c>
      <c r="E49" s="11" t="inlineStr">
        <is>
          <t>js/products-data.js:257</t>
        </is>
      </c>
      <c r="F49" s="11" t="inlineStr">
        <is>
          <t>Staff bell: orders, payments, stock, expiry, Bad Order disposal, PO discrepancies, wholesale document expiry, waiting chats. (was: Covers orders, payments, stock, expiry, PO discrepancies. No wholesale order updates or chat. Also shown to Sales Staff.)</t>
        </is>
      </c>
      <c r="G49" s="11" t="inlineStr">
        <is>
          <t>None</t>
        </is>
      </c>
      <c r="H49" s="11" t="inlineStr">
        <is>
          <t>Wholesale/chat parts depend on those features.</t>
        </is>
      </c>
      <c r="I49" s="11" t="inlineStr">
        <is>
          <t>Low</t>
        </is>
      </c>
      <c r="J49" s="11" t="inlineStr">
        <is>
          <t>S</t>
        </is>
      </c>
      <c r="K49" s="11" t="inlineStr">
        <is>
          <t>p.52</t>
        </is>
      </c>
    </row>
    <row r="50">
      <c r="A50" s="11" t="inlineStr">
        <is>
          <t>REQ049</t>
        </is>
      </c>
      <c r="B50" s="11" t="inlineStr">
        <is>
          <t>Inventory</t>
        </is>
      </c>
      <c r="C50" s="11" t="inlineStr">
        <is>
          <t>Inventory list per product by batch, with supplier details</t>
        </is>
      </c>
      <c r="D50" s="13" t="inlineStr">
        <is>
          <t>Matches</t>
        </is>
      </c>
      <c r="E50" s="11" t="inlineStr">
        <is>
          <t>admin/inventory.html:153</t>
        </is>
      </c>
      <c r="F50" s="11" t="inlineStr">
        <is>
          <t>06574da: batch table has a Supplier column (with receipt/DR no.). (was: Batch table has no supplier column.)</t>
        </is>
      </c>
      <c r="G50" s="11" t="inlineStr">
        <is>
          <t>None</t>
        </is>
      </c>
      <c r="H50" s="11" t="inlineStr">
        <is>
          <t>Data exists (supplierId on batch); add column.</t>
        </is>
      </c>
      <c r="I50" s="11" t="inlineStr">
        <is>
          <t>Low</t>
        </is>
      </c>
      <c r="J50" s="11" t="inlineStr">
        <is>
          <t>S</t>
        </is>
      </c>
      <c r="K50" s="11" t="inlineStr">
        <is>
          <t>p.52</t>
        </is>
      </c>
    </row>
    <row r="51">
      <c r="A51" s="11" t="inlineStr">
        <is>
          <t>REQ050</t>
        </is>
      </c>
      <c r="B51" s="11" t="inlineStr">
        <is>
          <t>Inventory</t>
        </is>
      </c>
      <c r="C51" s="11" t="inlineStr">
        <is>
          <t>Consistent stock across concurrent transactions</t>
        </is>
      </c>
      <c r="D51" s="13" t="inlineStr">
        <is>
          <t>Matches</t>
        </is>
      </c>
      <c r="E51" s="11" t="inlineStr">
        <is>
          <t>js/products-data.js:606</t>
        </is>
      </c>
      <c r="F51" s="11" t="inlineStr">
        <is>
          <t>Firestore transactions (FEFO multi-item).</t>
        </is>
      </c>
      <c r="G51" s="11" t="inlineStr">
        <is>
          <t>None</t>
        </is>
      </c>
      <c r="H51" s="11" t="inlineStr"/>
      <c r="I51" s="11" t="inlineStr">
        <is>
          <t>Low</t>
        </is>
      </c>
      <c r="J51" s="11" t="inlineStr">
        <is>
          <t>-</t>
        </is>
      </c>
      <c r="K51" s="11" t="inlineStr">
        <is>
          <t>p.52</t>
        </is>
      </c>
    </row>
    <row r="52">
      <c r="A52" s="11" t="inlineStr">
        <is>
          <t>REQ051</t>
        </is>
      </c>
      <c r="B52" s="11" t="inlineStr">
        <is>
          <t>Inventory</t>
        </is>
      </c>
      <c r="C52" s="11" t="inlineStr">
        <is>
          <t>Record write-offs</t>
        </is>
      </c>
      <c r="D52" s="13" t="inlineStr">
        <is>
          <t>Matches</t>
        </is>
      </c>
      <c r="E52" s="11" t="inlineStr">
        <is>
          <t>js/admin-inventory.js:994</t>
        </is>
      </c>
      <c r="F52" s="11" t="inlineStr">
        <is>
          <t>-</t>
        </is>
      </c>
      <c r="G52" s="11" t="inlineStr">
        <is>
          <t>None</t>
        </is>
      </c>
      <c r="H52" s="11" t="inlineStr"/>
      <c r="I52" s="11" t="inlineStr">
        <is>
          <t>Low</t>
        </is>
      </c>
      <c r="J52" s="11" t="inlineStr">
        <is>
          <t>-</t>
        </is>
      </c>
      <c r="K52" s="11" t="inlineStr">
        <is>
          <t>p.52</t>
        </is>
      </c>
    </row>
    <row r="53">
      <c r="A53" s="11" t="inlineStr">
        <is>
          <t>REQ052</t>
        </is>
      </c>
      <c r="B53" s="11" t="inlineStr">
        <is>
          <t>Inventory</t>
        </is>
      </c>
      <c r="C53" s="11" t="inlineStr">
        <is>
          <t>Reason required for write-off</t>
        </is>
      </c>
      <c r="D53" s="13" t="inlineStr">
        <is>
          <t>Matches</t>
        </is>
      </c>
      <c r="E53" s="11" t="inlineStr">
        <is>
          <t>js/admin-inventory.js:994</t>
        </is>
      </c>
      <c r="F53" s="11" t="inlineStr">
        <is>
          <t>-</t>
        </is>
      </c>
      <c r="G53" s="11" t="inlineStr">
        <is>
          <t>None</t>
        </is>
      </c>
      <c r="H53" s="11" t="inlineStr"/>
      <c r="I53" s="11" t="inlineStr">
        <is>
          <t>Low</t>
        </is>
      </c>
      <c r="J53" s="11" t="inlineStr">
        <is>
          <t>-</t>
        </is>
      </c>
      <c r="K53" s="11" t="inlineStr">
        <is>
          <t>p.52</t>
        </is>
      </c>
    </row>
    <row r="54">
      <c r="A54" s="11" t="inlineStr">
        <is>
          <t>REQ053</t>
        </is>
      </c>
      <c r="B54" s="11" t="inlineStr">
        <is>
          <t>Purchase Orders</t>
        </is>
      </c>
      <c r="C54" s="11" t="inlineStr">
        <is>
          <t>Create PO: supplier, products, quantities, date; Pending</t>
        </is>
      </c>
      <c r="D54" s="13" t="inlineStr">
        <is>
          <t>Matches</t>
        </is>
      </c>
      <c r="E54" s="11" t="inlineStr">
        <is>
          <t>js/admin-inventory.js:1442</t>
        </is>
      </c>
      <c r="F54" s="11" t="inlineStr">
        <is>
          <t>-</t>
        </is>
      </c>
      <c r="G54" s="11" t="inlineStr">
        <is>
          <t>None</t>
        </is>
      </c>
      <c r="H54" s="11" t="inlineStr"/>
      <c r="I54" s="11" t="inlineStr">
        <is>
          <t>Low</t>
        </is>
      </c>
      <c r="J54" s="11" t="inlineStr">
        <is>
          <t>-</t>
        </is>
      </c>
      <c r="K54" s="11" t="inlineStr">
        <is>
          <t>p.52</t>
        </is>
      </c>
    </row>
    <row r="55">
      <c r="A55" s="11" t="inlineStr">
        <is>
          <t>REQ054</t>
        </is>
      </c>
      <c r="B55" s="11" t="inlineStr">
        <is>
          <t>Purchase Orders</t>
        </is>
      </c>
      <c r="C55" s="11" t="inlineStr">
        <is>
          <t>Link delivery to existing PO when receiving</t>
        </is>
      </c>
      <c r="D55" s="13" t="inlineStr">
        <is>
          <t>Matches</t>
        </is>
      </c>
      <c r="E55" s="11" t="inlineStr">
        <is>
          <t>js/admin-inventory.js:1548</t>
        </is>
      </c>
      <c r="F55" s="11" t="inlineStr">
        <is>
          <t>Receiving is done from inside the PO.</t>
        </is>
      </c>
      <c r="G55" s="11" t="inlineStr">
        <is>
          <t>None</t>
        </is>
      </c>
      <c r="H55" s="11" t="inlineStr"/>
      <c r="I55" s="11" t="inlineStr">
        <is>
          <t>Low</t>
        </is>
      </c>
      <c r="J55" s="11" t="inlineStr">
        <is>
          <t>-</t>
        </is>
      </c>
      <c r="K55" s="11" t="inlineStr">
        <is>
          <t>p.53</t>
        </is>
      </c>
    </row>
    <row r="56">
      <c r="A56" s="11" t="inlineStr">
        <is>
          <t>REQ055</t>
        </is>
      </c>
      <c r="B56" s="11" t="inlineStr">
        <is>
          <t>Purchase Orders</t>
        </is>
      </c>
      <c r="C56" s="11" t="inlineStr">
        <is>
          <t>Auto-compare received vs PO quantities</t>
        </is>
      </c>
      <c r="D56" s="13" t="inlineStr">
        <is>
          <t>Matches</t>
        </is>
      </c>
      <c r="E56" s="11" t="inlineStr">
        <is>
          <t>js/admin-inventory.js:1548</t>
        </is>
      </c>
      <c r="F56" s="11" t="inlineStr">
        <is>
          <t>-</t>
        </is>
      </c>
      <c r="G56" s="11" t="inlineStr">
        <is>
          <t>None</t>
        </is>
      </c>
      <c r="H56" s="11" t="inlineStr"/>
      <c r="I56" s="11" t="inlineStr">
        <is>
          <t>Low</t>
        </is>
      </c>
      <c r="J56" s="11" t="inlineStr">
        <is>
          <t>-</t>
        </is>
      </c>
      <c r="K56" s="11" t="inlineStr">
        <is>
          <t>p.53</t>
        </is>
      </c>
    </row>
    <row r="57">
      <c r="A57" s="11" t="inlineStr">
        <is>
          <t>REQ056</t>
        </is>
      </c>
      <c r="B57" s="11" t="inlineStr">
        <is>
          <t>Purchase Orders</t>
        </is>
      </c>
      <c r="C57" s="11" t="inlineStr">
        <is>
          <t>Discrepancy report + PO status Discrepancy</t>
        </is>
      </c>
      <c r="D57" s="13" t="inlineStr">
        <is>
          <t>Matches</t>
        </is>
      </c>
      <c r="E57" s="11" t="inlineStr">
        <is>
          <t>js/admin-inventory.js:1548</t>
        </is>
      </c>
      <c r="F57" s="11" t="inlineStr">
        <is>
          <t>Shown on screen per PO; variance is per product (batch is recorded per line).</t>
        </is>
      </c>
      <c r="G57" s="11" t="inlineStr">
        <is>
          <t>None</t>
        </is>
      </c>
      <c r="H57" s="11" t="inlineStr"/>
      <c r="I57" s="11" t="inlineStr">
        <is>
          <t>Low</t>
        </is>
      </c>
      <c r="J57" s="11" t="inlineStr">
        <is>
          <t>-</t>
        </is>
      </c>
      <c r="K57" s="11" t="inlineStr">
        <is>
          <t>p.53</t>
        </is>
      </c>
    </row>
    <row r="58">
      <c r="A58" s="11" t="inlineStr">
        <is>
          <t>REQ057</t>
        </is>
      </c>
      <c r="B58" s="11" t="inlineStr">
        <is>
          <t>Purchase Orders</t>
        </is>
      </c>
      <c r="C58" s="11" t="inlineStr">
        <is>
          <t>Received when matched; acknowledgment to close Discrepancy</t>
        </is>
      </c>
      <c r="D58" s="13" t="inlineStr">
        <is>
          <t>Matches</t>
        </is>
      </c>
      <c r="E58" s="11" t="inlineStr">
        <is>
          <t>js/admin-inventory.js:1657</t>
        </is>
      </c>
      <c r="F58" s="11" t="inlineStr">
        <is>
          <t>-</t>
        </is>
      </c>
      <c r="G58" s="11" t="inlineStr">
        <is>
          <t>None</t>
        </is>
      </c>
      <c r="H58" s="11" t="inlineStr"/>
      <c r="I58" s="11" t="inlineStr">
        <is>
          <t>Low</t>
        </is>
      </c>
      <c r="J58" s="11" t="inlineStr">
        <is>
          <t>-</t>
        </is>
      </c>
      <c r="K58" s="11" t="inlineStr">
        <is>
          <t>p.53</t>
        </is>
      </c>
    </row>
    <row r="59">
      <c r="A59" s="11" t="inlineStr">
        <is>
          <t>REQ058</t>
        </is>
      </c>
      <c r="B59" s="11" t="inlineStr">
        <is>
          <t>Purchase Orders</t>
        </is>
      </c>
      <c r="C59" s="11" t="inlineStr">
        <is>
          <t>Discrepancy reports by date range, PDF/Excel</t>
        </is>
      </c>
      <c r="D59" s="13" t="inlineStr">
        <is>
          <t>Matches</t>
        </is>
      </c>
      <c r="E59" s="11" t="inlineStr">
        <is>
          <t>-</t>
        </is>
      </c>
      <c r="F59" s="11" t="inlineStr">
        <is>
          <t>bf16804: Reports -&gt; Purchase Order Discrepancy Report, date range, PDF/Excel. (was: No discrepancy report export.)</t>
        </is>
      </c>
      <c r="G59" s="11" t="inlineStr">
        <is>
          <t>None</t>
        </is>
      </c>
      <c r="H59" s="11" t="inlineStr">
        <is>
          <t>Part of the Reports module.</t>
        </is>
      </c>
      <c r="I59" s="11" t="inlineStr">
        <is>
          <t>Med</t>
        </is>
      </c>
      <c r="J59" s="11" t="inlineStr">
        <is>
          <t>M</t>
        </is>
      </c>
      <c r="K59" s="11" t="inlineStr">
        <is>
          <t>p.53</t>
        </is>
      </c>
    </row>
    <row r="60">
      <c r="A60" s="11" t="inlineStr">
        <is>
          <t>REQ059</t>
        </is>
      </c>
      <c r="B60" s="11" t="inlineStr">
        <is>
          <t>Stock Reconciliation</t>
        </is>
      </c>
      <c r="C60" s="11" t="inlineStr">
        <is>
          <t>Input physical counts</t>
        </is>
      </c>
      <c r="D60" s="13" t="inlineStr">
        <is>
          <t>Matches</t>
        </is>
      </c>
      <c r="E60" s="11" t="inlineStr">
        <is>
          <t>js/admin-inventory.js:1233</t>
        </is>
      </c>
      <c r="F60" s="11" t="inlineStr">
        <is>
          <t>-</t>
        </is>
      </c>
      <c r="G60" s="11" t="inlineStr">
        <is>
          <t>None</t>
        </is>
      </c>
      <c r="H60" s="11" t="inlineStr"/>
      <c r="I60" s="11" t="inlineStr">
        <is>
          <t>Low</t>
        </is>
      </c>
      <c r="J60" s="11" t="inlineStr">
        <is>
          <t>-</t>
        </is>
      </c>
      <c r="K60" s="11" t="inlineStr">
        <is>
          <t>p.53</t>
        </is>
      </c>
    </row>
    <row r="61">
      <c r="A61" s="11" t="inlineStr">
        <is>
          <t>REQ060</t>
        </is>
      </c>
      <c r="B61" s="11" t="inlineStr">
        <is>
          <t>Stock Reconciliation</t>
        </is>
      </c>
      <c r="C61" s="11" t="inlineStr">
        <is>
          <t>Auto variance calculation</t>
        </is>
      </c>
      <c r="D61" s="13" t="inlineStr">
        <is>
          <t>Matches</t>
        </is>
      </c>
      <c r="E61" s="11" t="inlineStr">
        <is>
          <t>js/admin-inventory.js</t>
        </is>
      </c>
      <c r="F61" s="11" t="inlineStr">
        <is>
          <t>-</t>
        </is>
      </c>
      <c r="G61" s="11" t="inlineStr">
        <is>
          <t>None</t>
        </is>
      </c>
      <c r="H61" s="11" t="inlineStr"/>
      <c r="I61" s="11" t="inlineStr">
        <is>
          <t>Low</t>
        </is>
      </c>
      <c r="J61" s="11" t="inlineStr">
        <is>
          <t>-</t>
        </is>
      </c>
      <c r="K61" s="11" t="inlineStr">
        <is>
          <t>p.53</t>
        </is>
      </c>
    </row>
    <row r="62">
      <c r="A62" s="11" t="inlineStr">
        <is>
          <t>REQ061</t>
        </is>
      </c>
      <c r="B62" s="11" t="inlineStr">
        <is>
          <t>Stock Reconciliation</t>
        </is>
      </c>
      <c r="C62" s="11" t="inlineStr">
        <is>
          <t>Branch Manager finalizes; variance reason in Audit Log</t>
        </is>
      </c>
      <c r="D62" s="13" t="inlineStr">
        <is>
          <t>Matches</t>
        </is>
      </c>
      <c r="E62" s="11" t="inlineStr">
        <is>
          <t>js/admin-inventory.js:1233</t>
        </is>
      </c>
      <c r="F62" s="11" t="inlineStr">
        <is>
          <t>06574da: only the Branch Manager finalizes; others save the count; variance reason required and logged with each batch's change. (was: Any staff with Inventory access can finalize; no variance reason is asked or logged (only a count of adjusted batches).)</t>
        </is>
      </c>
      <c r="G62" s="11" t="inlineStr">
        <is>
          <t>None</t>
        </is>
      </c>
      <c r="H62" s="11" t="inlineStr">
        <is>
          <t>Small role check + reason field. Fig 2.5 shows Technical Staff doing reconciliation - see Contradictions C5.</t>
        </is>
      </c>
      <c r="I62" s="11" t="inlineStr">
        <is>
          <t>Med</t>
        </is>
      </c>
      <c r="J62" s="11" t="inlineStr">
        <is>
          <t>S</t>
        </is>
      </c>
      <c r="K62" s="11" t="inlineStr">
        <is>
          <t>p.53; Fig 2.5</t>
        </is>
      </c>
    </row>
    <row r="63">
      <c r="A63" s="11" t="inlineStr">
        <is>
          <t>REQ062</t>
        </is>
      </c>
      <c r="B63" s="11" t="inlineStr">
        <is>
          <t>Stock Receiving</t>
        </is>
      </c>
      <c r="C63" s="11" t="inlineStr">
        <is>
          <t>Record deliveries: product, qty, batch, expiry, supplier</t>
        </is>
      </c>
      <c r="D63" s="13" t="inlineStr">
        <is>
          <t>Matches</t>
        </is>
      </c>
      <c r="E63" s="11" t="inlineStr">
        <is>
          <t>js/admin-inventory.js:537</t>
        </is>
      </c>
      <c r="F63" s="11" t="inlineStr">
        <is>
          <t>-</t>
        </is>
      </c>
      <c r="G63" s="11" t="inlineStr">
        <is>
          <t>None</t>
        </is>
      </c>
      <c r="H63" s="11" t="inlineStr"/>
      <c r="I63" s="11" t="inlineStr">
        <is>
          <t>Low</t>
        </is>
      </c>
      <c r="J63" s="11" t="inlineStr">
        <is>
          <t>-</t>
        </is>
      </c>
      <c r="K63" s="11" t="inlineStr">
        <is>
          <t>p.54</t>
        </is>
      </c>
    </row>
    <row r="64">
      <c r="A64" s="11" t="inlineStr">
        <is>
          <t>REQ063</t>
        </is>
      </c>
      <c r="B64" s="11" t="inlineStr">
        <is>
          <t>Stock Receiving</t>
        </is>
      </c>
      <c r="C64" s="11" t="inlineStr">
        <is>
          <t>Stock added immediately on confirmation</t>
        </is>
      </c>
      <c r="D64" s="13" t="inlineStr">
        <is>
          <t>Matches</t>
        </is>
      </c>
      <c r="E64" s="11" t="inlineStr">
        <is>
          <t>js/admin-inventory.js:537</t>
        </is>
      </c>
      <c r="F64" s="11" t="inlineStr">
        <is>
          <t>-</t>
        </is>
      </c>
      <c r="G64" s="11" t="inlineStr">
        <is>
          <t>None</t>
        </is>
      </c>
      <c r="H64" s="11" t="inlineStr"/>
      <c r="I64" s="11" t="inlineStr">
        <is>
          <t>Low</t>
        </is>
      </c>
      <c r="J64" s="11" t="inlineStr">
        <is>
          <t>-</t>
        </is>
      </c>
      <c r="K64" s="11" t="inlineStr">
        <is>
          <t>p.54</t>
        </is>
      </c>
    </row>
    <row r="65">
      <c r="A65" s="11" t="inlineStr">
        <is>
          <t>REQ064</t>
        </is>
      </c>
      <c r="B65" s="11" t="inlineStr">
        <is>
          <t>Batch Upload</t>
        </is>
      </c>
      <c r="C65" s="11" t="inlineStr">
        <is>
          <t>Bulk stock upload via Excel/CSV template</t>
        </is>
      </c>
      <c r="D65" s="13" t="inlineStr">
        <is>
          <t>Matches</t>
        </is>
      </c>
      <c r="E65" s="11" t="inlineStr">
        <is>
          <t>js/admin-inventory.js:727</t>
        </is>
      </c>
      <c r="F65" s="11" t="inlineStr">
        <is>
          <t>Also available for products.</t>
        </is>
      </c>
      <c r="G65" s="11" t="inlineStr">
        <is>
          <t>None</t>
        </is>
      </c>
      <c r="H65" s="11" t="inlineStr"/>
      <c r="I65" s="11" t="inlineStr">
        <is>
          <t>Low</t>
        </is>
      </c>
      <c r="J65" s="11" t="inlineStr">
        <is>
          <t>-</t>
        </is>
      </c>
      <c r="K65" s="11" t="inlineStr">
        <is>
          <t>p.54</t>
        </is>
      </c>
    </row>
    <row r="66">
      <c r="A66" s="11" t="inlineStr">
        <is>
          <t>REQ065</t>
        </is>
      </c>
      <c r="B66" s="11" t="inlineStr">
        <is>
          <t>FEFO</t>
        </is>
      </c>
      <c r="C66" s="11" t="inlineStr">
        <is>
          <t>FEFO across all transactions</t>
        </is>
      </c>
      <c r="D66" s="13" t="inlineStr">
        <is>
          <t>Matches</t>
        </is>
      </c>
      <c r="E66" s="11" t="inlineStr">
        <is>
          <t>js/products-data.js:606</t>
        </is>
      </c>
      <c r="F66" s="11" t="inlineStr">
        <is>
          <t>-</t>
        </is>
      </c>
      <c r="G66" s="11" t="inlineStr">
        <is>
          <t>None</t>
        </is>
      </c>
      <c r="H66" s="11" t="inlineStr"/>
      <c r="I66" s="11" t="inlineStr">
        <is>
          <t>Low</t>
        </is>
      </c>
      <c r="J66" s="11" t="inlineStr">
        <is>
          <t>-</t>
        </is>
      </c>
      <c r="K66" s="11" t="inlineStr">
        <is>
          <t>p.54</t>
        </is>
      </c>
    </row>
    <row r="67">
      <c r="A67" s="11" t="inlineStr">
        <is>
          <t>REQ066</t>
        </is>
      </c>
      <c r="B67" s="11" t="inlineStr">
        <is>
          <t>FEFO</t>
        </is>
      </c>
      <c r="C67" s="11" t="inlineStr">
        <is>
          <t>Flag batches within 6 months; remove from sellable; wholesale free-of-cost only</t>
        </is>
      </c>
      <c r="D67" s="13" t="inlineStr">
        <is>
          <t>Matches</t>
        </is>
      </c>
      <c r="E67" s="11" t="inlineStr">
        <is>
          <t>js/products-data.js:384; js/admin-inventory.js (only caller)</t>
        </is>
      </c>
      <c r="F67" s="11" t="inlineStr">
        <is>
          <t>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is>
      </c>
      <c r="G67" s="11" t="inlineStr">
        <is>
          <t>None</t>
        </is>
      </c>
      <c r="H67" s="11" t="inlineStr">
        <is>
          <t>This is the title feature ('Real-Time Expiry Monitoring') and Objective 2; exclude near-expiry batches from sellable stock by date everywhere, not only on that page.</t>
        </is>
      </c>
      <c r="I67" s="11" t="inlineStr">
        <is>
          <t>High</t>
        </is>
      </c>
      <c r="J67" s="11" t="inlineStr">
        <is>
          <t>S</t>
        </is>
      </c>
      <c r="K67" s="11" t="inlineStr">
        <is>
          <t>p.54; Title; Obj. 2</t>
        </is>
      </c>
    </row>
    <row r="68">
      <c r="A68" s="11" t="inlineStr">
        <is>
          <t>REQ067</t>
        </is>
      </c>
      <c r="B68" s="11" t="inlineStr">
        <is>
          <t>FEFO</t>
        </is>
      </c>
      <c r="C68" s="11" t="inlineStr">
        <is>
          <t>Within 2 months: Bad Order, disposal alert, auto-deduct</t>
        </is>
      </c>
      <c r="D68" s="13" t="inlineStr">
        <is>
          <t>Matches</t>
        </is>
      </c>
      <c r="E68" s="11" t="inlineStr">
        <is>
          <t>-</t>
        </is>
      </c>
      <c r="F68" s="11" t="inlineStr">
        <is>
          <t>d2a957b: within 2 months (or expired) the batch becomes Bad Order: remaining units written off automatically (write-off + audit entry), disposal alert until staff Mark disposed. (was: No 2-month Bad Order handling.)</t>
        </is>
      </c>
      <c r="G68" s="11" t="inlineStr">
        <is>
          <t>None</t>
        </is>
      </c>
      <c r="H68" s="11" t="inlineStr">
        <is>
          <t>Client described this exact practice (Interview 1).</t>
        </is>
      </c>
      <c r="I68" s="11" t="inlineStr">
        <is>
          <t>Med</t>
        </is>
      </c>
      <c r="J68" s="11" t="inlineStr">
        <is>
          <t>M</t>
        </is>
      </c>
      <c r="K68" s="11" t="inlineStr">
        <is>
          <t>p.54; Interview 1</t>
        </is>
      </c>
    </row>
    <row r="69">
      <c r="A69" s="11" t="inlineStr">
        <is>
          <t>REQ068</t>
        </is>
      </c>
      <c r="B69" s="11" t="inlineStr">
        <is>
          <t>Product Management</t>
        </is>
      </c>
      <c r="C69" s="11" t="inlineStr">
        <is>
          <t>Create/edit/remove products incl. dosage notes, costing, retail, wholesale, image</t>
        </is>
      </c>
      <c r="D69" s="13" t="inlineStr">
        <is>
          <t>Matches</t>
        </is>
      </c>
      <c r="E69" s="11" t="inlineStr">
        <is>
          <t>js/admin-products.js:347</t>
        </is>
      </c>
      <c r="F69" s="11" t="inlineStr">
        <is>
          <t>06574da: dosage notes field added to the product form. (was: No dosage notes field.)</t>
        </is>
      </c>
      <c r="G69" s="11" t="inlineStr">
        <is>
          <t>None</t>
        </is>
      </c>
      <c r="H69" s="11" t="inlineStr">
        <is>
          <t>Same as REQ013.</t>
        </is>
      </c>
      <c r="I69" s="11" t="inlineStr">
        <is>
          <t>Low</t>
        </is>
      </c>
      <c r="J69" s="11" t="inlineStr">
        <is>
          <t>S</t>
        </is>
      </c>
      <c r="K69" s="11" t="inlineStr">
        <is>
          <t>p.54</t>
        </is>
      </c>
    </row>
    <row r="70">
      <c r="A70" s="11" t="inlineStr">
        <is>
          <t>REQ069</t>
        </is>
      </c>
      <c r="B70" s="11" t="inlineStr">
        <is>
          <t>Product Management</t>
        </is>
      </c>
      <c r="C70" s="11" t="inlineStr">
        <is>
          <t>Supplier records linked to products</t>
        </is>
      </c>
      <c r="D70" s="13" t="inlineStr">
        <is>
          <t>Matches</t>
        </is>
      </c>
      <c r="E70" s="11" t="inlineStr">
        <is>
          <t>js/admin-suppliers.js:255</t>
        </is>
      </c>
      <c r="F70" s="11" t="inlineStr">
        <is>
          <t>-</t>
        </is>
      </c>
      <c r="G70" s="11" t="inlineStr">
        <is>
          <t>None</t>
        </is>
      </c>
      <c r="H70" s="11" t="inlineStr"/>
      <c r="I70" s="11" t="inlineStr">
        <is>
          <t>Low</t>
        </is>
      </c>
      <c r="J70" s="11" t="inlineStr">
        <is>
          <t>-</t>
        </is>
      </c>
      <c r="K70" s="11" t="inlineStr">
        <is>
          <t>p.55</t>
        </is>
      </c>
    </row>
    <row r="71">
      <c r="A71" s="11" t="inlineStr">
        <is>
          <t>REQ070</t>
        </is>
      </c>
      <c r="B71" s="11" t="inlineStr">
        <is>
          <t>Product Management</t>
        </is>
      </c>
      <c r="C71" s="11" t="inlineStr">
        <is>
          <t>Add, rename, remove categories</t>
        </is>
      </c>
      <c r="D71" s="13" t="inlineStr">
        <is>
          <t>Matches</t>
        </is>
      </c>
      <c r="E71" s="11" t="inlineStr">
        <is>
          <t>js/admin-products.js:713</t>
        </is>
      </c>
      <c r="F71" s="11" t="inlineStr">
        <is>
          <t>Fixed: rename uses the app dialog; delete can move products. (was: Rename uses the browser's native prompt(), the only native dialog left.)</t>
        </is>
      </c>
      <c r="G71" s="11" t="inlineStr">
        <is>
          <t>None</t>
        </is>
      </c>
      <c r="H71" s="11" t="inlineStr">
        <is>
          <t>Small.</t>
        </is>
      </c>
      <c r="I71" s="11" t="inlineStr">
        <is>
          <t>Low</t>
        </is>
      </c>
      <c r="J71" s="11" t="inlineStr">
        <is>
          <t>S</t>
        </is>
      </c>
      <c r="K71" s="11" t="inlineStr">
        <is>
          <t>p.55</t>
        </is>
      </c>
    </row>
    <row r="72">
      <c r="A72" s="11" t="inlineStr">
        <is>
          <t>REQ071</t>
        </is>
      </c>
      <c r="B72" s="11" t="inlineStr">
        <is>
          <t>Price Management</t>
        </is>
      </c>
      <c r="C72" s="11" t="inlineStr">
        <is>
          <t>Price changes restricted to Branch Manager</t>
        </is>
      </c>
      <c r="D72" s="13" t="inlineStr">
        <is>
          <t>Matches</t>
        </is>
      </c>
      <c r="E72" s="11" t="inlineStr">
        <is>
          <t>js/admin-products.js:69; js/admin-roles.js:17; firestore.rules:55</t>
        </is>
      </c>
      <c r="F72" s="11" t="inlineStr">
        <is>
          <t>Fixed: BM-only prices everywhere, enforced in database rules (publish rules). (was: Only editing an existing product is locked. Any staff (incl. Sales Staff) can set prices when creating or batch-importing a product, and the database rules let any staff write prices.)</t>
        </is>
      </c>
      <c r="G72" s="11" t="inlineStr">
        <is>
          <t>None</t>
        </is>
      </c>
      <c r="H72" s="11" t="inlineStr">
        <is>
          <t>Client's core ask ('one person lock', Interviews 1-2).</t>
        </is>
      </c>
      <c r="I72" s="11" t="inlineStr">
        <is>
          <t>High</t>
        </is>
      </c>
      <c r="J72" s="11" t="inlineStr">
        <is>
          <t>S</t>
        </is>
      </c>
      <c r="K72" s="11" t="inlineStr">
        <is>
          <t>p.55; Interviews 1-2</t>
        </is>
      </c>
    </row>
    <row r="73">
      <c r="A73" s="11" t="inlineStr">
        <is>
          <t>REQ072</t>
        </is>
      </c>
      <c r="B73" s="11" t="inlineStr">
        <is>
          <t>Price Management</t>
        </is>
      </c>
      <c r="C73" s="11" t="inlineStr">
        <is>
          <t>Confirm price change before saving</t>
        </is>
      </c>
      <c r="D73" s="13" t="inlineStr">
        <is>
          <t>Matches</t>
        </is>
      </c>
      <c r="E73" s="11" t="inlineStr">
        <is>
          <t>js/admin-products.js:347</t>
        </is>
      </c>
      <c r="F73" s="11" t="inlineStr">
        <is>
          <t>Confirm step now also asks for a reason. (was: -)</t>
        </is>
      </c>
      <c r="G73" s="11" t="inlineStr">
        <is>
          <t>None</t>
        </is>
      </c>
      <c r="H73" s="11" t="inlineStr"/>
      <c r="I73" s="11" t="inlineStr">
        <is>
          <t>Low</t>
        </is>
      </c>
      <c r="J73" s="11" t="inlineStr">
        <is>
          <t>-</t>
        </is>
      </c>
      <c r="K73" s="11" t="inlineStr">
        <is>
          <t>p.55</t>
        </is>
      </c>
    </row>
    <row r="74">
      <c r="A74" s="11" t="inlineStr">
        <is>
          <t>REQ073</t>
        </is>
      </c>
      <c r="B74" s="11" t="inlineStr">
        <is>
          <t>Price Management</t>
        </is>
      </c>
      <c r="C74" s="11" t="inlineStr">
        <is>
          <t>Audit log: previous price, new price, timestamp</t>
        </is>
      </c>
      <c r="D74" s="14" t="inlineStr">
        <is>
          <t>Partial</t>
        </is>
      </c>
      <c r="E74" s="11" t="inlineStr">
        <is>
          <t>js/admin-products.js:347</t>
        </is>
      </c>
      <c r="F74" s="11" t="inlineStr">
        <is>
          <t>System now logs the reason too; paper REQ073 wording should add 'reason'. (was: Matches the paper, but the client asked for a reason with each change (Interview 2) and none is captured.)</t>
        </is>
      </c>
      <c r="G74" s="11" t="inlineStr">
        <is>
          <t>System + paper</t>
        </is>
      </c>
      <c r="H74" s="11" t="inlineStr">
        <is>
          <t>Add a reason field and add 'reason' to REQ073.</t>
        </is>
      </c>
      <c r="I74" s="11" t="inlineStr">
        <is>
          <t>Med</t>
        </is>
      </c>
      <c r="J74" s="11" t="inlineStr">
        <is>
          <t>S</t>
        </is>
      </c>
      <c r="K74" s="11" t="inlineStr">
        <is>
          <t>p.55; Interview 2</t>
        </is>
      </c>
    </row>
    <row r="75">
      <c r="A75" s="11" t="inlineStr">
        <is>
          <t>REQ074</t>
        </is>
      </c>
      <c r="B75" s="11" t="inlineStr">
        <is>
          <t>Order Processing</t>
        </is>
      </c>
      <c r="C75" s="11" t="inlineStr">
        <is>
          <t>Searchable, filterable order queue</t>
        </is>
      </c>
      <c r="D75" s="13" t="inlineStr">
        <is>
          <t>Matches</t>
        </is>
      </c>
      <c r="E75" s="11" t="inlineStr">
        <is>
          <t>js/admin-online-orders.js</t>
        </is>
      </c>
      <c r="F75" s="11" t="inlineStr">
        <is>
          <t>-</t>
        </is>
      </c>
      <c r="G75" s="11" t="inlineStr">
        <is>
          <t>None</t>
        </is>
      </c>
      <c r="H75" s="11" t="inlineStr"/>
      <c r="I75" s="11" t="inlineStr">
        <is>
          <t>Low</t>
        </is>
      </c>
      <c r="J75" s="11" t="inlineStr">
        <is>
          <t>-</t>
        </is>
      </c>
      <c r="K75" s="11" t="inlineStr">
        <is>
          <t>p.55</t>
        </is>
      </c>
    </row>
    <row r="76">
      <c r="A76" s="11" t="inlineStr">
        <is>
          <t>REQ075</t>
        </is>
      </c>
      <c r="B76" s="11" t="inlineStr">
        <is>
          <t>Order Processing</t>
        </is>
      </c>
      <c r="C76" s="11" t="inlineStr">
        <is>
          <t>Confirm, update, or hold orders</t>
        </is>
      </c>
      <c r="D76" s="13" t="inlineStr">
        <is>
          <t>Matches</t>
        </is>
      </c>
      <c r="E76" s="11" t="inlineStr">
        <is>
          <t>js/admin-online-orders.js:891</t>
        </is>
      </c>
      <c r="F76" s="11" t="inlineStr">
        <is>
          <t>-</t>
        </is>
      </c>
      <c r="G76" s="11" t="inlineStr">
        <is>
          <t>None</t>
        </is>
      </c>
      <c r="H76" s="11" t="inlineStr"/>
      <c r="I76" s="11" t="inlineStr">
        <is>
          <t>Low</t>
        </is>
      </c>
      <c r="J76" s="11" t="inlineStr">
        <is>
          <t>-</t>
        </is>
      </c>
      <c r="K76" s="11" t="inlineStr">
        <is>
          <t>p.55</t>
        </is>
      </c>
    </row>
    <row r="77">
      <c r="A77" s="11" t="inlineStr">
        <is>
          <t>REQ076</t>
        </is>
      </c>
      <c r="B77" s="11" t="inlineStr">
        <is>
          <t>Order Processing</t>
        </is>
      </c>
      <c r="C77" s="11" t="inlineStr">
        <is>
          <t>FEFO deduction on confirmation</t>
        </is>
      </c>
      <c r="D77" s="13" t="inlineStr">
        <is>
          <t>Matches</t>
        </is>
      </c>
      <c r="E77" s="11" t="inlineStr">
        <is>
          <t>js/admin-online-orders.js:392</t>
        </is>
      </c>
      <c r="F77" s="11" t="inlineStr">
        <is>
          <t>-</t>
        </is>
      </c>
      <c r="G77" s="11" t="inlineStr">
        <is>
          <t>None</t>
        </is>
      </c>
      <c r="H77" s="11" t="inlineStr"/>
      <c r="I77" s="11" t="inlineStr">
        <is>
          <t>Low</t>
        </is>
      </c>
      <c r="J77" s="11" t="inlineStr">
        <is>
          <t>-</t>
        </is>
      </c>
      <c r="K77" s="11" t="inlineStr">
        <is>
          <t>p.55</t>
        </is>
      </c>
    </row>
    <row r="78">
      <c r="A78" s="11" t="inlineStr">
        <is>
          <t>REQ077</t>
        </is>
      </c>
      <c r="B78" s="11" t="inlineStr">
        <is>
          <t>RX Verification</t>
        </is>
      </c>
      <c r="C78" s="11" t="inlineStr">
        <is>
          <t>Dedicated RX pre-order queue with prescription + payment proof</t>
        </is>
      </c>
      <c r="D78" s="13" t="inlineStr">
        <is>
          <t>Matches</t>
        </is>
      </c>
      <c r="E78" s="11" t="inlineStr">
        <is>
          <t>js/admin-online-orders.js:257</t>
        </is>
      </c>
      <c r="F78" s="11" t="inlineStr">
        <is>
          <t>082ec92: RX filter + RX badge in the verification queue, prescription and payment shown together. (was: RX orders appear in the general Payment Verification queue with the photo shown; no dedicated queue or filter.)</t>
        </is>
      </c>
      <c r="G78" s="11" t="inlineStr">
        <is>
          <t>None</t>
        </is>
      </c>
      <c r="H78" s="11" t="inlineStr">
        <is>
          <t>Could be a filter/tab rather than a new page.</t>
        </is>
      </c>
      <c r="I78" s="11" t="inlineStr">
        <is>
          <t>Med</t>
        </is>
      </c>
      <c r="J78" s="11" t="inlineStr">
        <is>
          <t>M</t>
        </is>
      </c>
      <c r="K78" s="11" t="inlineStr">
        <is>
          <t>p.55</t>
        </is>
      </c>
    </row>
    <row r="79">
      <c r="A79" s="11" t="inlineStr">
        <is>
          <t>REQ078</t>
        </is>
      </c>
      <c r="B79" s="11" t="inlineStr">
        <is>
          <t>RX Verification</t>
        </is>
      </c>
      <c r="C79" s="11" t="inlineStr">
        <is>
          <t>Approve after checking prescription: FEFO reservation, Ready for Pick-up, notify</t>
        </is>
      </c>
      <c r="D79" s="13" t="inlineStr">
        <is>
          <t>Matches</t>
        </is>
      </c>
      <c r="E79" s="11" t="inlineStr">
        <is>
          <t>js/admin-online-orders.js:392</t>
        </is>
      </c>
      <c r="F79" s="11" t="inlineStr">
        <is>
          <t>082ec92: approval reserves stock (FEFO), sets Ready for Pick-up and notifies 'ready for pick-up'. (was: Approving payment moves RX orders straight to Ready for Pick-up, but the notification says 'Payment confirmed', not 'Ready for pick-up'.)</t>
        </is>
      </c>
      <c r="G79" s="11" t="inlineStr">
        <is>
          <t>None</t>
        </is>
      </c>
      <c r="H79" s="11" t="inlineStr">
        <is>
          <t>Part of the RX verification fix.</t>
        </is>
      </c>
      <c r="I79" s="11" t="inlineStr">
        <is>
          <t>Med</t>
        </is>
      </c>
      <c r="J79" s="11" t="inlineStr">
        <is>
          <t>S</t>
        </is>
      </c>
      <c r="K79" s="11" t="inlineStr">
        <is>
          <t>p.55</t>
        </is>
      </c>
    </row>
    <row r="80">
      <c r="A80" s="11" t="inlineStr">
        <is>
          <t>REQ079</t>
        </is>
      </c>
      <c r="B80" s="11" t="inlineStr">
        <is>
          <t>RX Verification</t>
        </is>
      </c>
      <c r="C80" s="11" t="inlineStr">
        <is>
          <t>Mandatory reason to reject; reason in customer notification</t>
        </is>
      </c>
      <c r="D80" s="13" t="inlineStr">
        <is>
          <t>Matches</t>
        </is>
      </c>
      <c r="E80" s="11" t="inlineStr">
        <is>
          <t>-</t>
        </is>
      </c>
      <c r="F80" s="11" t="inlineStr">
        <is>
          <t>082ec92: Reject Prescription with required reason + message; customer can re-upload within 7 days. (was: No reject action exists for prescriptions.)</t>
        </is>
      </c>
      <c r="G80" s="11" t="inlineStr">
        <is>
          <t>None</t>
        </is>
      </c>
      <c r="H80" s="11" t="inlineStr">
        <is>
          <t>Part of the RX verification fix.</t>
        </is>
      </c>
      <c r="I80" s="11" t="inlineStr">
        <is>
          <t>High</t>
        </is>
      </c>
      <c r="J80" s="11" t="inlineStr">
        <is>
          <t>M</t>
        </is>
      </c>
      <c r="K80" s="11" t="inlineStr">
        <is>
          <t>p.56</t>
        </is>
      </c>
    </row>
    <row r="81">
      <c r="A81" s="11" t="inlineStr">
        <is>
          <t>REQ080</t>
        </is>
      </c>
      <c r="B81" s="11" t="inlineStr">
        <is>
          <t>RX Verification</t>
        </is>
      </c>
      <c r="C81" s="11" t="inlineStr">
        <is>
          <t>RX never assignable to delivery</t>
        </is>
      </c>
      <c r="D81" s="13" t="inlineStr">
        <is>
          <t>Matches</t>
        </is>
      </c>
      <c r="E81" s="11" t="inlineStr">
        <is>
          <t>js/checkout.js:63</t>
        </is>
      </c>
      <c r="F81" s="11" t="inlineStr">
        <is>
          <t>-</t>
        </is>
      </c>
      <c r="G81" s="11" t="inlineStr">
        <is>
          <t>None</t>
        </is>
      </c>
      <c r="H81" s="11" t="inlineStr"/>
      <c r="I81" s="11" t="inlineStr">
        <is>
          <t>Low</t>
        </is>
      </c>
      <c r="J81" s="11" t="inlineStr">
        <is>
          <t>-</t>
        </is>
      </c>
      <c r="K81" s="11" t="inlineStr">
        <is>
          <t>p.56</t>
        </is>
      </c>
    </row>
    <row r="82">
      <c r="A82" s="11" t="inlineStr">
        <is>
          <t>REQ081</t>
        </is>
      </c>
      <c r="B82" s="11" t="inlineStr">
        <is>
          <t>RX Verification</t>
        </is>
      </c>
      <c r="C82" s="11" t="inlineStr">
        <is>
          <t>Record staff, timestamp, action per verification</t>
        </is>
      </c>
      <c r="D82" s="13" t="inlineStr">
        <is>
          <t>Matches</t>
        </is>
      </c>
      <c r="E82" s="11" t="inlineStr">
        <is>
          <t>-</t>
        </is>
      </c>
      <c r="F82" s="11" t="inlineStr">
        <is>
          <t>082ec92: every approval/hold/rejection stores who, when and what (verification field) + audit entry for RX. (was: Who approved is not stored.)</t>
        </is>
      </c>
      <c r="G82" s="11" t="inlineStr">
        <is>
          <t>None</t>
        </is>
      </c>
      <c r="H82" s="11" t="inlineStr">
        <is>
          <t>Small.</t>
        </is>
      </c>
      <c r="I82" s="11" t="inlineStr">
        <is>
          <t>Med</t>
        </is>
      </c>
      <c r="J82" s="11" t="inlineStr">
        <is>
          <t>S</t>
        </is>
      </c>
      <c r="K82" s="11" t="inlineStr">
        <is>
          <t>p.56</t>
        </is>
      </c>
    </row>
    <row r="83">
      <c r="A83" s="11" t="inlineStr">
        <is>
          <t>REQ082</t>
        </is>
      </c>
      <c r="B83" s="11" t="inlineStr">
        <is>
          <t>Walk-in Orders</t>
        </is>
      </c>
      <c r="C83" s="11" t="inlineStr">
        <is>
          <t>Technical + Sales Staff process walk-in sales (OTC + RX)</t>
        </is>
      </c>
      <c r="D83" s="13" t="inlineStr">
        <is>
          <t>Matches</t>
        </is>
      </c>
      <c r="E83" s="11" t="inlineStr">
        <is>
          <t>js/admin-pos.js:187</t>
        </is>
      </c>
      <c r="F83" s="11" t="inlineStr">
        <is>
          <t>-</t>
        </is>
      </c>
      <c r="G83" s="11" t="inlineStr">
        <is>
          <t>None</t>
        </is>
      </c>
      <c r="H83" s="11" t="inlineStr"/>
      <c r="I83" s="11" t="inlineStr">
        <is>
          <t>Low</t>
        </is>
      </c>
      <c r="J83" s="11" t="inlineStr">
        <is>
          <t>-</t>
        </is>
      </c>
      <c r="K83" s="11" t="inlineStr">
        <is>
          <t>p.56</t>
        </is>
      </c>
    </row>
    <row r="84">
      <c r="A84" s="11" t="inlineStr">
        <is>
          <t>REQ083</t>
        </is>
      </c>
      <c r="B84" s="11" t="inlineStr">
        <is>
          <t>Walk-in Orders</t>
        </is>
      </c>
      <c r="C84" s="11" t="inlineStr">
        <is>
          <t>Void with reason, restore stock, audit log, record exchange + price difference</t>
        </is>
      </c>
      <c r="D84" s="13" t="inlineStr">
        <is>
          <t>Matches</t>
        </is>
      </c>
      <c r="E84" s="11" t="inlineStr">
        <is>
          <t>-</t>
        </is>
      </c>
      <c r="F84" s="11" t="inlineStr">
        <is>
          <t>Full or item-level voids with reason, SI No., stock back to the same batches, exchange note, audit entry; Technical Staff voids need a Branch Manager's email + password approval (client rule). (was: No void function at all.)</t>
        </is>
      </c>
      <c r="G84" s="11" t="inlineStr">
        <is>
          <t>None</t>
        </is>
      </c>
      <c r="H84" s="11" t="inlineStr">
        <is>
          <t>Client's #1 stated pain point (Interview 4), plus a use case in Fig 2.6. Paper wording is self-contradictory on timing - see C4.</t>
        </is>
      </c>
      <c r="I84" s="11" t="inlineStr">
        <is>
          <t>High</t>
        </is>
      </c>
      <c r="J84" s="11" t="inlineStr">
        <is>
          <t>M</t>
        </is>
      </c>
      <c r="K84" s="11" t="inlineStr">
        <is>
          <t>p.56; Fig 2.6; Fig 2.14; Interview 4</t>
        </is>
      </c>
    </row>
    <row r="85">
      <c r="A85" s="11" t="inlineStr">
        <is>
          <t>REQ084</t>
        </is>
      </c>
      <c r="B85" s="11" t="inlineStr">
        <is>
          <t>Walk-in Orders</t>
        </is>
      </c>
      <c r="C85" s="11" t="inlineStr">
        <is>
          <t>RX Verified checkbox + optional notes, no upload</t>
        </is>
      </c>
      <c r="D85" s="13" t="inlineStr">
        <is>
          <t>Matches</t>
        </is>
      </c>
      <c r="E85" s="11" t="inlineStr">
        <is>
          <t>admin/pos.html</t>
        </is>
      </c>
      <c r="F85" s="11" t="inlineStr">
        <is>
          <t>57f4d80: RX Verified checkbox + optional notes in POS, required when the cart has RX items. (was: Not in POS.)</t>
        </is>
      </c>
      <c r="G85" s="11" t="inlineStr">
        <is>
          <t>None</t>
        </is>
      </c>
      <c r="H85" s="11" t="inlineStr">
        <is>
          <t>Small.</t>
        </is>
      </c>
      <c r="I85" s="11" t="inlineStr">
        <is>
          <t>Med</t>
        </is>
      </c>
      <c r="J85" s="11" t="inlineStr">
        <is>
          <t>S</t>
        </is>
      </c>
      <c r="K85" s="11" t="inlineStr">
        <is>
          <t>p.56; Fig 2.14</t>
        </is>
      </c>
    </row>
    <row r="86">
      <c r="A86" s="11" t="inlineStr">
        <is>
          <t>REQ085</t>
        </is>
      </c>
      <c r="B86" s="11" t="inlineStr">
        <is>
          <t>Wholesale</t>
        </is>
      </c>
      <c r="C86" s="11" t="inlineStr">
        <is>
          <t>Wholesale accounts with contact, business type, agreed pricing</t>
        </is>
      </c>
      <c r="D86" s="13" t="inlineStr">
        <is>
          <t>Matches</t>
        </is>
      </c>
      <c r="E86" s="11" t="inlineStr">
        <is>
          <t>js/admin-wholesale-accounts.js:270</t>
        </is>
      </c>
      <c r="F86" s="11" t="inlineStr">
        <is>
          <t>Agreed price per buyer per product (saved from Process Order, reviewed in Edit), used as the default on their orders. (was: No per-account agreed pricing; price comes from the product's wholesale price and can be edited per order.)</t>
        </is>
      </c>
      <c r="G86" s="11" t="inlineStr">
        <is>
          <t>None</t>
        </is>
      </c>
      <c r="H86" s="11" t="inlineStr">
        <is>
          <t>Matches how client described 'special price for wholesalers'; reword REQ085/087.</t>
        </is>
      </c>
      <c r="I86" s="11" t="inlineStr">
        <is>
          <t>Low</t>
        </is>
      </c>
      <c r="J86" s="11" t="inlineStr">
        <is>
          <t>-</t>
        </is>
      </c>
      <c r="K86" s="11" t="inlineStr">
        <is>
          <t>p.57; Interview 2</t>
        </is>
      </c>
    </row>
    <row r="87">
      <c r="A87" s="11" t="inlineStr">
        <is>
          <t>REQ086</t>
        </is>
      </c>
      <c r="B87" s="11" t="inlineStr">
        <is>
          <t>Wholesale</t>
        </is>
      </c>
      <c r="C87" s="11" t="inlineStr">
        <is>
          <t>Upload/update LTO and Business Permit</t>
        </is>
      </c>
      <c r="D87" s="13" t="inlineStr">
        <is>
          <t>Matches</t>
        </is>
      </c>
      <c r="E87" s="11" t="inlineStr">
        <is>
          <t>js/admin-wholesale-accounts.js:270</t>
        </is>
      </c>
      <c r="F87" s="11" t="inlineStr">
        <is>
          <t>5cad255: LTO and Business Permit valid-until dates; cards flag expired/expiring; orders blocked while expired. (was: Upload works; no document expiry date or 'expired' flag (shown in Interview 4 walkthrough and Activity 2.13).)</t>
        </is>
      </c>
      <c r="G87" s="11" t="inlineStr">
        <is>
          <t>None</t>
        </is>
      </c>
      <c r="H87" s="11" t="inlineStr">
        <is>
          <t>Small: add expiry dates + badge.</t>
        </is>
      </c>
      <c r="I87" s="11" t="inlineStr">
        <is>
          <t>Low</t>
        </is>
      </c>
      <c r="J87" s="11" t="inlineStr">
        <is>
          <t>S</t>
        </is>
      </c>
      <c r="K87" s="11" t="inlineStr">
        <is>
          <t>p.57; Fig 2.13; Interview 4</t>
        </is>
      </c>
    </row>
    <row r="88">
      <c r="A88" s="11" t="inlineStr">
        <is>
          <t>REQ087</t>
        </is>
      </c>
      <c r="B88" s="11" t="inlineStr">
        <is>
          <t>Wholesale</t>
        </is>
      </c>
      <c r="C88" s="11" t="inlineStr">
        <is>
          <t>Record wholesale POs linked to account with wholesale pricing</t>
        </is>
      </c>
      <c r="D88" s="13" t="inlineStr">
        <is>
          <t>Matches</t>
        </is>
      </c>
      <c r="E88" s="11" t="inlineStr">
        <is>
          <t>js/admin-wholesale-accounts.js:473</t>
        </is>
      </c>
      <c r="F88" s="11" t="inlineStr">
        <is>
          <t>POs recorded against the buyer with their agreed prices as defaults. (was: -)</t>
        </is>
      </c>
      <c r="G88" s="11" t="inlineStr">
        <is>
          <t>None</t>
        </is>
      </c>
      <c r="H88" s="11" t="inlineStr"/>
      <c r="I88" s="11" t="inlineStr">
        <is>
          <t>Low</t>
        </is>
      </c>
      <c r="J88" s="11" t="inlineStr">
        <is>
          <t>-</t>
        </is>
      </c>
      <c r="K88" s="11" t="inlineStr">
        <is>
          <t>p.57</t>
        </is>
      </c>
    </row>
    <row r="89">
      <c r="A89" s="11" t="inlineStr">
        <is>
          <t>REQ088</t>
        </is>
      </c>
      <c r="B89" s="11" t="inlineStr">
        <is>
          <t>Wholesale</t>
        </is>
      </c>
      <c r="C89" s="11" t="inlineStr">
        <is>
          <t>Wholesale prices admin-only; not shown on retail site</t>
        </is>
      </c>
      <c r="D89" s="14" t="inlineStr">
        <is>
          <t>Partial</t>
        </is>
      </c>
      <c r="E89" s="11" t="inlineStr">
        <is>
          <t>firestore.rules:55</t>
        </is>
      </c>
      <c r="F89" s="11" t="inlineStr">
        <is>
          <t>Not displayed, but costing/wholesale prices sit in the public products collection and can be read by anyone.</t>
        </is>
      </c>
      <c r="G89" s="11" t="inlineStr">
        <is>
          <t>Decision needed</t>
        </is>
      </c>
      <c r="H89" s="11" t="inlineStr">
        <is>
          <t>Moving price fields to a staff-only collection is moderate work.</t>
        </is>
      </c>
      <c r="I89" s="11" t="inlineStr">
        <is>
          <t>Low</t>
        </is>
      </c>
      <c r="J89" s="11" t="inlineStr">
        <is>
          <t>M</t>
        </is>
      </c>
      <c r="K89" s="11" t="inlineStr">
        <is>
          <t>p.57</t>
        </is>
      </c>
    </row>
    <row r="90">
      <c r="A90" s="11" t="inlineStr">
        <is>
          <t>REQ089</t>
        </is>
      </c>
      <c r="B90" s="11" t="inlineStr">
        <is>
          <t>Wholesale</t>
        </is>
      </c>
      <c r="C90" s="11" t="inlineStr">
        <is>
          <t>Purchase history per wholesale account</t>
        </is>
      </c>
      <c r="D90" s="13" t="inlineStr">
        <is>
          <t>Matches</t>
        </is>
      </c>
      <c r="E90" s="11" t="inlineStr">
        <is>
          <t>-</t>
        </is>
      </c>
      <c r="F90" s="11" t="inlineStr">
        <is>
          <t>5cad255: Purchase History per wholesale account, with invoice download. (was: Orders are saved (wholesaleOrders) but there is no history view.)</t>
        </is>
      </c>
      <c r="G90" s="11" t="inlineStr">
        <is>
          <t>None</t>
        </is>
      </c>
      <c r="H90" s="11" t="inlineStr">
        <is>
          <t>Client asked for a 'customer file' (Interview 2, 4).</t>
        </is>
      </c>
      <c r="I90" s="11" t="inlineStr">
        <is>
          <t>Med</t>
        </is>
      </c>
      <c r="J90" s="11" t="inlineStr">
        <is>
          <t>S</t>
        </is>
      </c>
      <c r="K90" s="11" t="inlineStr">
        <is>
          <t>p.57; Interview 2</t>
        </is>
      </c>
    </row>
    <row r="91">
      <c r="A91" s="11" t="inlineStr">
        <is>
          <t>REQ090</t>
        </is>
      </c>
      <c r="B91" s="11" t="inlineStr">
        <is>
          <t>Wholesale</t>
        </is>
      </c>
      <c r="C91" s="11" t="inlineStr">
        <is>
          <t>Wholesale item exchanges with FEFO + audit log</t>
        </is>
      </c>
      <c r="D91" s="13" t="inlineStr">
        <is>
          <t>Matches</t>
        </is>
      </c>
      <c r="E91" s="11" t="inlineStr">
        <is>
          <t>-</t>
        </is>
      </c>
      <c r="F91" s="11" t="inlineStr">
        <is>
          <t>Wholesale exchange from Purchase History: return to the original batch, FEFO replacement, equal-or-higher value (buyer pays the difference), reason, audit entry, exchange document (EX-#####). (was: Not built.)</t>
        </is>
      </c>
      <c r="G91" s="11" t="inlineStr">
        <is>
          <t>None</t>
        </is>
      </c>
      <c r="H91" s="11" t="inlineStr">
        <is>
          <t>Has its own activity diagram (Fig 2.15) and report (REQ114).</t>
        </is>
      </c>
      <c r="I91" s="11" t="inlineStr">
        <is>
          <t>Med</t>
        </is>
      </c>
      <c r="J91" s="11" t="inlineStr">
        <is>
          <t>M</t>
        </is>
      </c>
      <c r="K91" s="11" t="inlineStr">
        <is>
          <t>p.57; Fig 2.15</t>
        </is>
      </c>
    </row>
    <row r="92">
      <c r="A92" s="11" t="inlineStr">
        <is>
          <t>REQ091</t>
        </is>
      </c>
      <c r="B92" s="11" t="inlineStr">
        <is>
          <t>Wholesale</t>
        </is>
      </c>
      <c r="C92" s="11" t="inlineStr">
        <is>
          <t>Free-of-cost near-expiry distributions, zero cost, reason in audit log</t>
        </is>
      </c>
      <c r="D92" s="13" t="inlineStr">
        <is>
          <t>Matches</t>
        </is>
      </c>
      <c r="E92" s="11" t="inlineStr">
        <is>
          <t>js/admin-wholesale-accounts.js:380</t>
        </is>
      </c>
      <c r="F92" s="11" t="inlineStr">
        <is>
          <t>5cad255: free-of-cost option (prices 0), required reason, own audit entry, noted on the invoice. (was: A unit price of 0 is possible, but there is no free-of-cost option, reason, or dedicated audit entry.)</t>
        </is>
      </c>
      <c r="G92" s="11" t="inlineStr">
        <is>
          <t>None</t>
        </is>
      </c>
      <c r="H92" s="11" t="inlineStr">
        <is>
          <t>Small.</t>
        </is>
      </c>
      <c r="I92" s="11" t="inlineStr">
        <is>
          <t>Med</t>
        </is>
      </c>
      <c r="J92" s="11" t="inlineStr">
        <is>
          <t>S</t>
        </is>
      </c>
      <c r="K92" s="11" t="inlineStr">
        <is>
          <t>p.57; Interview 2</t>
        </is>
      </c>
    </row>
    <row r="93">
      <c r="A93" s="11" t="inlineStr">
        <is>
          <t>REQ092</t>
        </is>
      </c>
      <c r="B93" s="11" t="inlineStr">
        <is>
          <t>Transaction Records</t>
        </is>
      </c>
      <c r="C93" s="11" t="inlineStr">
        <is>
          <t>Retail/walk-in receipt; wholesale sales invoice with buyer details</t>
        </is>
      </c>
      <c r="D93" s="13" t="inlineStr">
        <is>
          <t>Matches</t>
        </is>
      </c>
      <c r="E93" s="11" t="inlineStr">
        <is>
          <t>js/products-data.js:478</t>
        </is>
      </c>
      <c r="F93" s="11" t="inlineStr">
        <is>
          <t>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is>
      </c>
      <c r="G93" s="11" t="inlineStr">
        <is>
          <t>None</t>
        </is>
      </c>
      <c r="H93" s="11" t="inlineStr">
        <is>
          <t>jsPDF already used.</t>
        </is>
      </c>
      <c r="I93" s="11" t="inlineStr">
        <is>
          <t>Med</t>
        </is>
      </c>
      <c r="J93" s="11" t="inlineStr">
        <is>
          <t>S</t>
        </is>
      </c>
      <c r="K93" s="11" t="inlineStr">
        <is>
          <t>p.58; p.1</t>
        </is>
      </c>
    </row>
    <row r="94">
      <c r="A94" s="11" t="inlineStr">
        <is>
          <t>REQ093</t>
        </is>
      </c>
      <c r="B94" s="11" t="inlineStr">
        <is>
          <t>Transaction Records</t>
        </is>
      </c>
      <c r="C94" s="11" t="inlineStr">
        <is>
          <t>Receipt on payment verification, downloadable in My Orders</t>
        </is>
      </c>
      <c r="D94" s="13" t="inlineStr">
        <is>
          <t>Matches</t>
        </is>
      </c>
      <c r="E94" s="11" t="inlineStr">
        <is>
          <t>js/orders.js:247</t>
        </is>
      </c>
      <c r="F94" s="11" t="inlineStr">
        <is>
          <t>082ec92: receipt only downloadable once payment is verified (SI No. assigned). (was: Available before verification too.)</t>
        </is>
      </c>
      <c r="G94" s="11" t="inlineStr">
        <is>
          <t>None</t>
        </is>
      </c>
      <c r="H94" s="11" t="inlineStr">
        <is>
          <t>Same fix as REQ033.</t>
        </is>
      </c>
      <c r="I94" s="11" t="inlineStr">
        <is>
          <t>Low</t>
        </is>
      </c>
      <c r="J94" s="11" t="inlineStr">
        <is>
          <t>S</t>
        </is>
      </c>
      <c r="K94" s="11" t="inlineStr">
        <is>
          <t>p.58</t>
        </is>
      </c>
    </row>
    <row r="95">
      <c r="A95" s="11" t="inlineStr">
        <is>
          <t>REQ094</t>
        </is>
      </c>
      <c r="B95" s="11" t="inlineStr">
        <is>
          <t>Payment Verification</t>
        </is>
      </c>
      <c r="C95" s="11" t="inlineStr">
        <is>
          <t>Verification queue of orders with proof</t>
        </is>
      </c>
      <c r="D95" s="13" t="inlineStr">
        <is>
          <t>Matches</t>
        </is>
      </c>
      <c r="E95" s="11" t="inlineStr">
        <is>
          <t>js/admin-online-orders.js:257</t>
        </is>
      </c>
      <c r="F95" s="11" t="inlineStr">
        <is>
          <t>-</t>
        </is>
      </c>
      <c r="G95" s="11" t="inlineStr">
        <is>
          <t>None</t>
        </is>
      </c>
      <c r="H95" s="11" t="inlineStr"/>
      <c r="I95" s="11" t="inlineStr">
        <is>
          <t>Low</t>
        </is>
      </c>
      <c r="J95" s="11" t="inlineStr">
        <is>
          <t>-</t>
        </is>
      </c>
      <c r="K95" s="11" t="inlineStr">
        <is>
          <t>p.58</t>
        </is>
      </c>
    </row>
    <row r="96">
      <c r="A96" s="11" t="inlineStr">
        <is>
          <t>REQ095</t>
        </is>
      </c>
      <c r="B96" s="11" t="inlineStr">
        <is>
          <t>Payment Verification</t>
        </is>
      </c>
      <c r="C96" s="11" t="inlineStr">
        <is>
          <t>Confirm, or hold with issue type</t>
        </is>
      </c>
      <c r="D96" s="13" t="inlineStr">
        <is>
          <t>Matches</t>
        </is>
      </c>
      <c r="E96" s="11" t="inlineStr">
        <is>
          <t>js/admin-online-orders.js:561</t>
        </is>
      </c>
      <c r="F96" s="11" t="inlineStr">
        <is>
          <t>-</t>
        </is>
      </c>
      <c r="G96" s="11" t="inlineStr">
        <is>
          <t>None</t>
        </is>
      </c>
      <c r="H96" s="11" t="inlineStr"/>
      <c r="I96" s="11" t="inlineStr">
        <is>
          <t>Low</t>
        </is>
      </c>
      <c r="J96" s="11" t="inlineStr">
        <is>
          <t>-</t>
        </is>
      </c>
      <c r="K96" s="11" t="inlineStr">
        <is>
          <t>p.58</t>
        </is>
      </c>
    </row>
    <row r="97">
      <c r="A97" s="11" t="inlineStr">
        <is>
          <t>REQ096</t>
        </is>
      </c>
      <c r="B97" s="11" t="inlineStr">
        <is>
          <t>Payment Verification</t>
        </is>
      </c>
      <c r="C97" s="11" t="inlineStr">
        <is>
          <t>On Hold - Invalid Screenshot + notify re-upload</t>
        </is>
      </c>
      <c r="D97" s="13" t="inlineStr">
        <is>
          <t>Matches</t>
        </is>
      </c>
      <c r="E97" s="11" t="inlineStr">
        <is>
          <t>js/admin-online-orders.js:561</t>
        </is>
      </c>
      <c r="F97" s="11" t="inlineStr">
        <is>
          <t>-</t>
        </is>
      </c>
      <c r="G97" s="11" t="inlineStr">
        <is>
          <t>None</t>
        </is>
      </c>
      <c r="H97" s="11" t="inlineStr"/>
      <c r="I97" s="11" t="inlineStr">
        <is>
          <t>Low</t>
        </is>
      </c>
      <c r="J97" s="11" t="inlineStr">
        <is>
          <t>-</t>
        </is>
      </c>
      <c r="K97" s="11" t="inlineStr">
        <is>
          <t>p.58</t>
        </is>
      </c>
    </row>
    <row r="98">
      <c r="A98" s="11" t="inlineStr">
        <is>
          <t>REQ097</t>
        </is>
      </c>
      <c r="B98" s="11" t="inlineStr">
        <is>
          <t>Payment Verification</t>
        </is>
      </c>
      <c r="C98" s="11" t="inlineStr">
        <is>
          <t>On Hold - Underpayment, record outstanding, notify</t>
        </is>
      </c>
      <c r="D98" s="13" t="inlineStr">
        <is>
          <t>Matches</t>
        </is>
      </c>
      <c r="E98" s="11" t="inlineStr">
        <is>
          <t>js/admin-online-orders.js:561</t>
        </is>
      </c>
      <c r="F98" s="11" t="inlineStr">
        <is>
          <t>-</t>
        </is>
      </c>
      <c r="G98" s="11" t="inlineStr">
        <is>
          <t>None</t>
        </is>
      </c>
      <c r="H98" s="11" t="inlineStr"/>
      <c r="I98" s="11" t="inlineStr">
        <is>
          <t>Low</t>
        </is>
      </c>
      <c r="J98" s="11" t="inlineStr">
        <is>
          <t>-</t>
        </is>
      </c>
      <c r="K98" s="11" t="inlineStr">
        <is>
          <t>p.58</t>
        </is>
      </c>
    </row>
    <row r="99">
      <c r="A99" s="11" t="inlineStr">
        <is>
          <t>REQ098</t>
        </is>
      </c>
      <c r="B99" s="11" t="inlineStr">
        <is>
          <t>Payment Verification</t>
        </is>
      </c>
      <c r="C99" s="11" t="inlineStr">
        <is>
          <t>On Hold - Overpayment, excess as unapplied value</t>
        </is>
      </c>
      <c r="D99" s="16" t="inlineStr">
        <is>
          <t>Deviates</t>
        </is>
      </c>
      <c r="E99" s="11" t="inlineStr">
        <is>
          <t>js/admin-online-orders.js:638</t>
        </is>
      </c>
      <c r="F99" s="11" t="inlineStr">
        <is>
          <t>System approves overpaid orders immediately and adds the excess to store credit (no hold). Bug: on a resubmitted order the old hold is never cleared, so it gets stuck On Hold, and no 'Payment confirmed' notification is sent.</t>
        </is>
      </c>
      <c r="G99" s="11" t="inlineStr">
        <is>
          <t>System + paper</t>
        </is>
      </c>
      <c r="H99" s="11" t="inlineStr">
        <is>
          <t>The paper says hold everywhere (REQ095, REQ098, Fig 2.6 text, Fig 2.11 text and diagram); approve-and-credit is what the client agreed to in the Interview 4 walkthrough. Fix the bug and reword the paper (C2).</t>
        </is>
      </c>
      <c r="I99" s="11" t="inlineStr">
        <is>
          <t>High</t>
        </is>
      </c>
      <c r="J99" s="11" t="inlineStr">
        <is>
          <t>S</t>
        </is>
      </c>
      <c r="K99" s="11" t="inlineStr">
        <is>
          <t>p.59; Fig 2.11; Interview 4</t>
        </is>
      </c>
    </row>
    <row r="100">
      <c r="A100" s="11" t="inlineStr">
        <is>
          <t>REQ099</t>
        </is>
      </c>
      <c r="B100" s="11" t="inlineStr">
        <is>
          <t>Payment Verification</t>
        </is>
      </c>
      <c r="C100" s="11" t="inlineStr">
        <is>
          <t>On Hold - Payment Not Received, reason, notify</t>
        </is>
      </c>
      <c r="D100" s="13" t="inlineStr">
        <is>
          <t>Matches</t>
        </is>
      </c>
      <c r="E100" s="11" t="inlineStr">
        <is>
          <t>js/admin-online-orders.js</t>
        </is>
      </c>
      <c r="F100" s="11" t="inlineStr">
        <is>
          <t>847c877: 'Payment not received' is its own hold type; customer sees 'Payment Rejected - Re-upload Needed'. (was: Exists only as a reason under 'Invalid payment', not as its own hold type.)</t>
        </is>
      </c>
      <c r="G100" s="11" t="inlineStr">
        <is>
          <t>None</t>
        </is>
      </c>
      <c r="H100" s="11" t="inlineStr">
        <is>
          <t>Use case text lists four hold types.</t>
        </is>
      </c>
      <c r="I100" s="11" t="inlineStr">
        <is>
          <t>Low</t>
        </is>
      </c>
      <c r="J100" s="11" t="inlineStr">
        <is>
          <t>S</t>
        </is>
      </c>
      <c r="K100" s="11" t="inlineStr">
        <is>
          <t>p.59</t>
        </is>
      </c>
    </row>
    <row r="101">
      <c r="A101" s="11" t="inlineStr">
        <is>
          <t>REQ100</t>
        </is>
      </c>
      <c r="B101" s="11" t="inlineStr">
        <is>
          <t>Payment Verification</t>
        </is>
      </c>
      <c r="C101" s="11" t="inlineStr">
        <is>
          <t>Auto-close after 7 days; verified payment kept as credit</t>
        </is>
      </c>
      <c r="D101" s="13" t="inlineStr">
        <is>
          <t>Matches</t>
        </is>
      </c>
      <c r="E101" s="11" t="inlineStr">
        <is>
          <t>js/orders.js:133</t>
        </is>
      </c>
      <c r="F101" s="11" t="inlineStr">
        <is>
          <t>Checked when a page loads (no background job).</t>
        </is>
      </c>
      <c r="G101" s="11" t="inlineStr">
        <is>
          <t>None</t>
        </is>
      </c>
      <c r="H101" s="11" t="inlineStr">
        <is>
          <t>Fine without a server.</t>
        </is>
      </c>
      <c r="I101" s="11" t="inlineStr">
        <is>
          <t>Low</t>
        </is>
      </c>
      <c r="J101" s="11" t="inlineStr">
        <is>
          <t>-</t>
        </is>
      </c>
      <c r="K101" s="11" t="inlineStr">
        <is>
          <t>p.59</t>
        </is>
      </c>
    </row>
    <row r="102">
      <c r="A102" s="11" t="inlineStr">
        <is>
          <t>REQ101</t>
        </is>
      </c>
      <c r="B102" s="11" t="inlineStr">
        <is>
          <t>Payment Verification</t>
        </is>
      </c>
      <c r="C102" s="11" t="inlineStr">
        <is>
          <t>Status to confirmed on approval</t>
        </is>
      </c>
      <c r="D102" s="13" t="inlineStr">
        <is>
          <t>Matches</t>
        </is>
      </c>
      <c r="E102" s="11" t="inlineStr">
        <is>
          <t>js/admin-online-orders.js:392</t>
        </is>
      </c>
      <c r="F102" s="11" t="inlineStr">
        <is>
          <t>-</t>
        </is>
      </c>
      <c r="G102" s="11" t="inlineStr">
        <is>
          <t>None</t>
        </is>
      </c>
      <c r="H102" s="11" t="inlineStr"/>
      <c r="I102" s="11" t="inlineStr">
        <is>
          <t>Low</t>
        </is>
      </c>
      <c r="J102" s="11" t="inlineStr">
        <is>
          <t>-</t>
        </is>
      </c>
      <c r="K102" s="11" t="inlineStr">
        <is>
          <t>p.59</t>
        </is>
      </c>
    </row>
    <row r="103">
      <c r="A103" s="11" t="inlineStr">
        <is>
          <t>REQ102</t>
        </is>
      </c>
      <c r="B103" s="11" t="inlineStr">
        <is>
          <t>Payment Verification</t>
        </is>
      </c>
      <c r="C103" s="11" t="inlineStr">
        <is>
          <t>Notify customer on verification</t>
        </is>
      </c>
      <c r="D103" s="13" t="inlineStr">
        <is>
          <t>Matches</t>
        </is>
      </c>
      <c r="E103" s="11" t="inlineStr">
        <is>
          <t>js/admin-online-orders.js:392</t>
        </is>
      </c>
      <c r="F103" s="11" t="inlineStr">
        <is>
          <t>Fixed: overpayment approval now notifies the customer. (was: Works for normal approvals; missing for overpayment approvals (see REQ098).)</t>
        </is>
      </c>
      <c r="G103" s="11" t="inlineStr">
        <is>
          <t>None</t>
        </is>
      </c>
      <c r="H103" s="11" t="inlineStr">
        <is>
          <t>Same fix as REQ098.</t>
        </is>
      </c>
      <c r="I103" s="11" t="inlineStr">
        <is>
          <t>Med</t>
        </is>
      </c>
      <c r="J103" s="11" t="inlineStr">
        <is>
          <t>S</t>
        </is>
      </c>
      <c r="K103" s="11" t="inlineStr">
        <is>
          <t>p.59</t>
        </is>
      </c>
    </row>
    <row r="104">
      <c r="A104" s="11" t="inlineStr">
        <is>
          <t>REQ103</t>
        </is>
      </c>
      <c r="B104" s="11" t="inlineStr">
        <is>
          <t>Delivery</t>
        </is>
      </c>
      <c r="C104" s="11" t="inlineStr">
        <is>
          <t>Compile name, address, contact, schedule, order ID; one-click copy</t>
        </is>
      </c>
      <c r="D104" s="13" t="inlineStr">
        <is>
          <t>Matches</t>
        </is>
      </c>
      <c r="E104" s="11" t="inlineStr">
        <is>
          <t>js/admin-online-orders.js:721</t>
        </is>
      </c>
      <c r="F104" s="11" t="inlineStr">
        <is>
          <t>06574da: approved modal shows order no. and preferred schedule, with a Copy All button. (was: Separate copy buttons for address/name/contact/notes. Preferred schedule and order ID are not shown; no 'copy all'.)</t>
        </is>
      </c>
      <c r="G104" s="11" t="inlineStr">
        <is>
          <t>None</t>
        </is>
      </c>
      <c r="H104" s="11" t="inlineStr">
        <is>
          <t>Small; schedule is already saved on the order.</t>
        </is>
      </c>
      <c r="I104" s="11" t="inlineStr">
        <is>
          <t>Low</t>
        </is>
      </c>
      <c r="J104" s="11" t="inlineStr">
        <is>
          <t>S</t>
        </is>
      </c>
      <c r="K104" s="11" t="inlineStr">
        <is>
          <t>p.59</t>
        </is>
      </c>
    </row>
    <row r="105">
      <c r="A105" s="11" t="inlineStr">
        <is>
          <t>REQ104</t>
        </is>
      </c>
      <c r="B105" s="11" t="inlineStr">
        <is>
          <t>Delivery</t>
        </is>
      </c>
      <c r="C105" s="11" t="inlineStr">
        <is>
          <t>Mark Dispatched and enter Lalamove tracking URL</t>
        </is>
      </c>
      <c r="D105" s="13" t="inlineStr">
        <is>
          <t>Matches</t>
        </is>
      </c>
      <c r="E105" s="11" t="inlineStr">
        <is>
          <t>js/admin-online-orders.js:751</t>
        </is>
      </c>
      <c r="F105" s="11" t="inlineStr">
        <is>
          <t>Tracking link format is validated.</t>
        </is>
      </c>
      <c r="G105" s="11" t="inlineStr">
        <is>
          <t>None</t>
        </is>
      </c>
      <c r="H105" s="11" t="inlineStr"/>
      <c r="I105" s="11" t="inlineStr">
        <is>
          <t>Low</t>
        </is>
      </c>
      <c r="J105" s="11" t="inlineStr">
        <is>
          <t>-</t>
        </is>
      </c>
      <c r="K105" s="11" t="inlineStr">
        <is>
          <t>p.59</t>
        </is>
      </c>
    </row>
    <row r="106">
      <c r="A106" s="11" t="inlineStr">
        <is>
          <t>REQ105</t>
        </is>
      </c>
      <c r="B106" s="11" t="inlineStr">
        <is>
          <t>Delivery</t>
        </is>
      </c>
      <c r="C106" s="11" t="inlineStr">
        <is>
          <t>Reflect status to customer; customer 'Order Received' finalizes as Delivered</t>
        </is>
      </c>
      <c r="D106" s="16" t="inlineStr">
        <is>
          <t>Deviates</t>
        </is>
      </c>
      <c r="E106" s="11" t="inlineStr">
        <is>
          <t>js/order-details.js</t>
        </is>
      </c>
      <c r="F106" s="11" t="inlineStr">
        <is>
          <t>Tracking link now shown to the customer. Remaining difference is wording: customer confirmation sets 'Received' after 'Delivered' (fix in paper). (was: Customer sees status, but not the tracking link. Customer confirmation sets 'Received' (a separate step after 'Delivered').)</t>
        </is>
      </c>
      <c r="G106" s="11" t="inlineStr">
        <is>
          <t>System + paper</t>
        </is>
      </c>
      <c r="H106" s="11" t="inlineStr">
        <is>
          <t>Show link (system); describe Delivered vs Received (paper) - see C1.</t>
        </is>
      </c>
      <c r="I106" s="11" t="inlineStr">
        <is>
          <t>High</t>
        </is>
      </c>
      <c r="J106" s="11" t="inlineStr">
        <is>
          <t>S</t>
        </is>
      </c>
      <c r="K106" s="11" t="inlineStr">
        <is>
          <t>p.60</t>
        </is>
      </c>
    </row>
    <row r="107">
      <c r="A107" s="11" t="inlineStr">
        <is>
          <t>REQ106</t>
        </is>
      </c>
      <c r="B107" s="11" t="inlineStr">
        <is>
          <t>Delivery</t>
        </is>
      </c>
      <c r="C107" s="11" t="inlineStr">
        <is>
          <t>Auto Dispatched -&gt; Delivered after 3 days</t>
        </is>
      </c>
      <c r="D107" s="13" t="inlineStr">
        <is>
          <t>Matches</t>
        </is>
      </c>
      <c r="E107" s="11" t="inlineStr">
        <is>
          <t>js/orders.js:82</t>
        </is>
      </c>
      <c r="F107" s="11" t="inlineStr">
        <is>
          <t>-</t>
        </is>
      </c>
      <c r="G107" s="11" t="inlineStr">
        <is>
          <t>None</t>
        </is>
      </c>
      <c r="H107" s="11" t="inlineStr"/>
      <c r="I107" s="11" t="inlineStr">
        <is>
          <t>Low</t>
        </is>
      </c>
      <c r="J107" s="11" t="inlineStr">
        <is>
          <t>-</t>
        </is>
      </c>
      <c r="K107" s="11" t="inlineStr">
        <is>
          <t>p.60</t>
        </is>
      </c>
    </row>
    <row r="108">
      <c r="A108" s="11" t="inlineStr">
        <is>
          <t>REQ107</t>
        </is>
      </c>
      <c r="B108" s="11" t="inlineStr">
        <is>
          <t>Delivery</t>
        </is>
      </c>
      <c r="C108" s="11" t="inlineStr">
        <is>
          <t>Optional internal delivery notes</t>
        </is>
      </c>
      <c r="D108" s="13" t="inlineStr">
        <is>
          <t>Matches</t>
        </is>
      </c>
      <c r="E108" s="11" t="inlineStr">
        <is>
          <t>-</t>
        </is>
      </c>
      <c r="F108" s="11" t="inlineStr">
        <is>
          <t>06574da: optional internal delivery notes saved on dispatch. (was: Not built.)</t>
        </is>
      </c>
      <c r="G108" s="11" t="inlineStr">
        <is>
          <t>None</t>
        </is>
      </c>
      <c r="H108" s="11" t="inlineStr">
        <is>
          <t>Small.</t>
        </is>
      </c>
      <c r="I108" s="11" t="inlineStr">
        <is>
          <t>Low</t>
        </is>
      </c>
      <c r="J108" s="11" t="inlineStr">
        <is>
          <t>S</t>
        </is>
      </c>
      <c r="K108" s="11" t="inlineStr">
        <is>
          <t>p.60</t>
        </is>
      </c>
    </row>
    <row r="109">
      <c r="A109" s="11" t="inlineStr">
        <is>
          <t>REQ108</t>
        </is>
      </c>
      <c r="B109" s="11" t="inlineStr">
        <is>
          <t>Live Chat Management</t>
        </is>
      </c>
      <c r="C109" s="11" t="inlineStr">
        <is>
          <t>Staff view customer and AI conversations</t>
        </is>
      </c>
      <c r="D109" s="13" t="inlineStr">
        <is>
          <t>Matches</t>
        </is>
      </c>
      <c r="E109" s="11" t="inlineStr">
        <is>
          <t>admin/*.html 'Live Chat' href='#'</t>
        </is>
      </c>
      <c r="F109" s="11" t="inlineStr">
        <is>
          <t>80b3988: Admin -&gt; Live Chat lists every conversation, live. (was: Sidebar link goes nowhere on all 12 admin pages.)</t>
        </is>
      </c>
      <c r="G109" s="11" t="inlineStr">
        <is>
          <t>None</t>
        </is>
      </c>
      <c r="H109" s="11" t="inlineStr">
        <is>
          <t>Same decision as REQ035.</t>
        </is>
      </c>
      <c r="I109" s="11" t="inlineStr">
        <is>
          <t>High</t>
        </is>
      </c>
      <c r="J109" s="11" t="inlineStr">
        <is>
          <t>L</t>
        </is>
      </c>
      <c r="K109" s="11" t="inlineStr">
        <is>
          <t>p.60</t>
        </is>
      </c>
    </row>
    <row r="110">
      <c r="A110" s="11" t="inlineStr">
        <is>
          <t>REQ109</t>
        </is>
      </c>
      <c r="B110" s="11" t="inlineStr">
        <is>
          <t>Live Chat Management</t>
        </is>
      </c>
      <c r="C110" s="11" t="inlineStr">
        <is>
          <t>Staff respond to customers</t>
        </is>
      </c>
      <c r="D110" s="13" t="inlineStr">
        <is>
          <t>Matches</t>
        </is>
      </c>
      <c r="E110" s="11" t="inlineStr">
        <is>
          <t>-</t>
        </is>
      </c>
      <c r="F110" s="11" t="inlineStr">
        <is>
          <t>80b3988: staff reply, take over from the assistant, or hand back. (was: Not built.)</t>
        </is>
      </c>
      <c r="G110" s="11" t="inlineStr">
        <is>
          <t>None</t>
        </is>
      </c>
      <c r="H110" s="11" t="inlineStr">
        <is>
          <t>Same decision as REQ035.</t>
        </is>
      </c>
      <c r="I110" s="11" t="inlineStr">
        <is>
          <t>High</t>
        </is>
      </c>
      <c r="J110" s="11" t="inlineStr">
        <is>
          <t>L</t>
        </is>
      </c>
      <c r="K110" s="11" t="inlineStr">
        <is>
          <t>p.60</t>
        </is>
      </c>
    </row>
    <row r="111">
      <c r="A111" s="11" t="inlineStr">
        <is>
          <t>REQ110</t>
        </is>
      </c>
      <c r="B111" s="11" t="inlineStr">
        <is>
          <t>Live Chat Management</t>
        </is>
      </c>
      <c r="C111" s="11" t="inlineStr">
        <is>
          <t>Mark threads resolved</t>
        </is>
      </c>
      <c r="D111" s="13" t="inlineStr">
        <is>
          <t>Matches</t>
        </is>
      </c>
      <c r="E111" s="11" t="inlineStr">
        <is>
          <t>-</t>
        </is>
      </c>
      <c r="F111" s="11" t="inlineStr">
        <is>
          <t>80b3988: Mark resolved; a new customer message reopens it. (was: Not built.)</t>
        </is>
      </c>
      <c r="G111" s="11" t="inlineStr">
        <is>
          <t>None</t>
        </is>
      </c>
      <c r="H111" s="11" t="inlineStr">
        <is>
          <t>Same decision as REQ035.</t>
        </is>
      </c>
      <c r="I111" s="11" t="inlineStr">
        <is>
          <t>Med</t>
        </is>
      </c>
      <c r="J111" s="11" t="inlineStr">
        <is>
          <t>S</t>
        </is>
      </c>
      <c r="K111" s="11" t="inlineStr">
        <is>
          <t>p.60</t>
        </is>
      </c>
    </row>
    <row r="112">
      <c r="A112" s="11" t="inlineStr">
        <is>
          <t>REQ111</t>
        </is>
      </c>
      <c r="B112" s="11" t="inlineStr">
        <is>
          <t>Reports</t>
        </is>
      </c>
      <c r="C112" s="11" t="inlineStr">
        <is>
          <t>Export daily sales reports (from Order Processing)</t>
        </is>
      </c>
      <c r="D112" s="13" t="inlineStr">
        <is>
          <t>Matches</t>
        </is>
      </c>
      <c r="E112" s="11" t="inlineStr">
        <is>
          <t>js/admin-online-orders.js (Export -&gt; exportBlankPdf)</t>
        </is>
      </c>
      <c r="F112" s="11" t="inlineStr">
        <is>
          <t>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is>
      </c>
      <c r="G112" s="11" t="inlineStr">
        <is>
          <t>None</t>
        </is>
      </c>
      <c r="H112" s="11" t="inlineStr">
        <is>
          <t>Objective 3 and the client's one remaining ask in Interview 4 ('wala pa tayo dun sa reporting').</t>
        </is>
      </c>
      <c r="I112" s="11" t="inlineStr">
        <is>
          <t>High</t>
        </is>
      </c>
      <c r="J112" s="11" t="inlineStr">
        <is>
          <t>L</t>
        </is>
      </c>
      <c r="K112" s="11" t="inlineStr">
        <is>
          <t>p.60; Obj. 3; Interviews 2-4</t>
        </is>
      </c>
    </row>
    <row r="113">
      <c r="A113" s="11" t="inlineStr">
        <is>
          <t>REQ112</t>
        </is>
      </c>
      <c r="B113" s="11" t="inlineStr">
        <is>
          <t>Reports</t>
        </is>
      </c>
      <c r="C113" s="11" t="inlineStr">
        <is>
          <t>Export monthly inventory + purchase reports (from Inventory)</t>
        </is>
      </c>
      <c r="D113" s="13" t="inlineStr">
        <is>
          <t>Matches</t>
        </is>
      </c>
      <c r="E113" s="11" t="inlineStr">
        <is>
          <t>js/admin-inventory.js (Export -&gt; exportBlankPdf)</t>
        </is>
      </c>
      <c r="F113" s="11" t="inlineStr">
        <is>
          <t>bf16804: Reports -&gt; Monthly Inventory (sheet per category, POS vs physical, prices, batch, expiry) + Supplier Purchases; shortcut on Inventory. (was: Inventory Export downloads a blank PDF.)</t>
        </is>
      </c>
      <c r="G113" s="11" t="inlineStr">
        <is>
          <t>None</t>
        </is>
      </c>
      <c r="H113" s="11" t="inlineStr">
        <is>
          <t>Client needs batch, expiry, date received, receipt no., supplier (Interview 2, 4).</t>
        </is>
      </c>
      <c r="I113" s="11" t="inlineStr">
        <is>
          <t>High</t>
        </is>
      </c>
      <c r="J113" s="11" t="inlineStr">
        <is>
          <t>L</t>
        </is>
      </c>
      <c r="K113" s="11" t="inlineStr">
        <is>
          <t>p.60; Interviews 2, 4</t>
        </is>
      </c>
    </row>
    <row r="114">
      <c r="A114" s="11" t="inlineStr">
        <is>
          <t>REQ113</t>
        </is>
      </c>
      <c r="B114" s="11" t="inlineStr">
        <is>
          <t>Reports</t>
        </is>
      </c>
      <c r="C114" s="11" t="inlineStr">
        <is>
          <t>Pull-out reports by date range</t>
        </is>
      </c>
      <c r="D114" s="13" t="inlineStr">
        <is>
          <t>Matches</t>
        </is>
      </c>
      <c r="E114" s="11" t="inlineStr">
        <is>
          <t>-</t>
        </is>
      </c>
      <c r="F114" s="11" t="inlineStr">
        <is>
          <t>bf16804: Reports -&gt; Pull-Out Report (write-offs incl. automatic Bad Order) by date range. (was: Not built (write-offs are recorded, so data exists).)</t>
        </is>
      </c>
      <c r="G114" s="11" t="inlineStr">
        <is>
          <t>None</t>
        </is>
      </c>
      <c r="H114" s="11" t="inlineStr">
        <is>
          <t>Client lists pull-out as a required monthly report (Interview 2).</t>
        </is>
      </c>
      <c r="I114" s="11" t="inlineStr">
        <is>
          <t>High</t>
        </is>
      </c>
      <c r="J114" s="11" t="inlineStr">
        <is>
          <t>M</t>
        </is>
      </c>
      <c r="K114" s="11" t="inlineStr">
        <is>
          <t>p.60; Interview 2</t>
        </is>
      </c>
    </row>
    <row r="115">
      <c r="A115" s="11" t="inlineStr">
        <is>
          <t>REQ114</t>
        </is>
      </c>
      <c r="B115" s="11" t="inlineStr">
        <is>
          <t>Reports</t>
        </is>
      </c>
      <c r="C115" s="11" t="inlineStr">
        <is>
          <t>Wholesale exchange reports by period</t>
        </is>
      </c>
      <c r="D115" s="13" t="inlineStr">
        <is>
          <t>Matches</t>
        </is>
      </c>
      <c r="E115" s="11" t="inlineStr">
        <is>
          <t>-</t>
        </is>
      </c>
      <c r="F115" s="11" t="inlineStr">
        <is>
          <t>Reports -&gt; Return / Exchange Report (the branch's 'Return to POS' sheet + replacement and difference). (was: Not built; depends on REQ090.)</t>
        </is>
      </c>
      <c r="G115" s="11" t="inlineStr">
        <is>
          <t>None</t>
        </is>
      </c>
      <c r="H115" s="11" t="inlineStr"/>
      <c r="I115" s="11" t="inlineStr">
        <is>
          <t>Med</t>
        </is>
      </c>
      <c r="J115" s="11" t="inlineStr">
        <is>
          <t>M</t>
        </is>
      </c>
      <c r="K115" s="11" t="inlineStr">
        <is>
          <t>p.61</t>
        </is>
      </c>
    </row>
    <row r="116">
      <c r="A116" s="11" t="inlineStr">
        <is>
          <t>REQ115</t>
        </is>
      </c>
      <c r="B116" s="11" t="inlineStr">
        <is>
          <t>Reports</t>
        </is>
      </c>
      <c r="C116" s="11" t="inlineStr">
        <is>
          <t>All reports in PDF or Excel</t>
        </is>
      </c>
      <c r="D116" s="13" t="inlineStr">
        <is>
          <t>Matches</t>
        </is>
      </c>
      <c r="E116" s="11" t="inlineStr">
        <is>
          <t>js/admin-dashboard.js:471</t>
        </is>
      </c>
      <c r="F116" s="11" t="inlineStr">
        <is>
          <t>bf16804: every report previews on screen and downloads as PDF or Excel. (was: Only Sales Analytics exports (PDF + Excel). Five other Export buttons give blank PDFs (Dashboard, Inventory, Online Orders, Suppliers, Audit Log).)</t>
        </is>
      </c>
      <c r="G116" s="11" t="inlineStr">
        <is>
          <t>None</t>
        </is>
      </c>
      <c r="H116" s="11" t="inlineStr"/>
      <c r="I116" s="11" t="inlineStr">
        <is>
          <t>High</t>
        </is>
      </c>
      <c r="J116" s="11" t="inlineStr">
        <is>
          <t>M</t>
        </is>
      </c>
      <c r="K116" s="11" t="inlineStr">
        <is>
          <t>p.61</t>
        </is>
      </c>
    </row>
    <row r="117">
      <c r="A117" s="11" t="inlineStr">
        <is>
          <t>REQ116</t>
        </is>
      </c>
      <c r="B117" s="11" t="inlineStr">
        <is>
          <t>Customer Accounts</t>
        </is>
      </c>
      <c r="C117" s="11" t="inlineStr">
        <is>
          <t>View profiles: status, registration date, order history</t>
        </is>
      </c>
      <c r="D117" s="13" t="inlineStr">
        <is>
          <t>Matches</t>
        </is>
      </c>
      <c r="E117" s="11" t="inlineStr">
        <is>
          <t>js/admin-customer-accounts.js:179</t>
        </is>
      </c>
      <c r="F117" s="11" t="inlineStr">
        <is>
          <t>847c877: customer profile lists their orders with status. (was: Shows total order count, not the order list.)</t>
        </is>
      </c>
      <c r="G117" s="11" t="inlineStr">
        <is>
          <t>None</t>
        </is>
      </c>
      <c r="H117" s="11" t="inlineStr">
        <is>
          <t>Small.</t>
        </is>
      </c>
      <c r="I117" s="11" t="inlineStr">
        <is>
          <t>Low</t>
        </is>
      </c>
      <c r="J117" s="11" t="inlineStr">
        <is>
          <t>S</t>
        </is>
      </c>
      <c r="K117" s="11" t="inlineStr">
        <is>
          <t>p.61</t>
        </is>
      </c>
    </row>
    <row r="118">
      <c r="A118" s="11" t="inlineStr">
        <is>
          <t>REQ117</t>
        </is>
      </c>
      <c r="B118" s="11" t="inlineStr">
        <is>
          <t>Customer Accounts</t>
        </is>
      </c>
      <c r="C118" s="11" t="inlineStr">
        <is>
          <t>Deactivate without deleting</t>
        </is>
      </c>
      <c r="D118" s="13" t="inlineStr">
        <is>
          <t>Matches</t>
        </is>
      </c>
      <c r="E118" s="11" t="inlineStr">
        <is>
          <t>js/admin-customer-accounts.js:209</t>
        </is>
      </c>
      <c r="F118" s="11" t="inlineStr">
        <is>
          <t>-</t>
        </is>
      </c>
      <c r="G118" s="11" t="inlineStr">
        <is>
          <t>None</t>
        </is>
      </c>
      <c r="H118" s="11" t="inlineStr"/>
      <c r="I118" s="11" t="inlineStr">
        <is>
          <t>Low</t>
        </is>
      </c>
      <c r="J118" s="11" t="inlineStr">
        <is>
          <t>-</t>
        </is>
      </c>
      <c r="K118" s="11" t="inlineStr">
        <is>
          <t>p.61</t>
        </is>
      </c>
    </row>
    <row r="119">
      <c r="A119" s="11" t="inlineStr">
        <is>
          <t>REQ118</t>
        </is>
      </c>
      <c r="B119" s="11" t="inlineStr">
        <is>
          <t>Staff Management</t>
        </is>
      </c>
      <c r="C119" s="11" t="inlineStr">
        <is>
          <t>BM creates, modifies, revokes staff accounts</t>
        </is>
      </c>
      <c r="D119" s="13" t="inlineStr">
        <is>
          <t>Matches</t>
        </is>
      </c>
      <c r="E119" s="11" t="inlineStr">
        <is>
          <t>js/admin-staff-management.js:188</t>
        </is>
      </c>
      <c r="F119" s="11" t="inlineStr">
        <is>
          <t>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is>
      </c>
      <c r="G119" s="11" t="inlineStr">
        <is>
          <t>None</t>
        </is>
      </c>
      <c r="H119" s="11" t="inlineStr">
        <is>
          <t>Small.</t>
        </is>
      </c>
      <c r="I119" s="11" t="inlineStr">
        <is>
          <t>Low</t>
        </is>
      </c>
      <c r="J119" s="11" t="inlineStr">
        <is>
          <t>S</t>
        </is>
      </c>
      <c r="K119" s="11" t="inlineStr">
        <is>
          <t>p.61</t>
        </is>
      </c>
    </row>
    <row r="120">
      <c r="A120" s="11" t="inlineStr">
        <is>
          <t>REQ119</t>
        </is>
      </c>
      <c r="B120" s="11" t="inlineStr">
        <is>
          <t>Staff Management</t>
        </is>
      </c>
      <c r="C120" s="11" t="inlineStr">
        <is>
          <t>BM assigns roles that set accessible modules</t>
        </is>
      </c>
      <c r="D120" s="13" t="inlineStr">
        <is>
          <t>Matches</t>
        </is>
      </c>
      <c r="E120" s="11" t="inlineStr">
        <is>
          <t>js/admin-roles.js:14</t>
        </is>
      </c>
      <c r="F120" s="11" t="inlineStr">
        <is>
          <t>-</t>
        </is>
      </c>
      <c r="G120" s="11" t="inlineStr">
        <is>
          <t>None</t>
        </is>
      </c>
      <c r="H120" s="11" t="inlineStr"/>
      <c r="I120" s="11" t="inlineStr">
        <is>
          <t>Low</t>
        </is>
      </c>
      <c r="J120" s="11" t="inlineStr">
        <is>
          <t>-</t>
        </is>
      </c>
      <c r="K120" s="11" t="inlineStr">
        <is>
          <t>p.61</t>
        </is>
      </c>
    </row>
    <row r="121">
      <c r="A121" s="11" t="inlineStr">
        <is>
          <t>REQ120</t>
        </is>
      </c>
      <c r="B121" s="11" t="inlineStr">
        <is>
          <t>Staff Management</t>
        </is>
      </c>
      <c r="C121" s="11" t="inlineStr">
        <is>
          <t>Technical Staff cannot access Staff Management or Price Management</t>
        </is>
      </c>
      <c r="D121" s="13" t="inlineStr">
        <is>
          <t>Matches</t>
        </is>
      </c>
      <c r="E121" s="11" t="inlineStr">
        <is>
          <t>js/admin-roles.js:14</t>
        </is>
      </c>
      <c r="F121" s="11" t="inlineStr">
        <is>
          <t>Fixed with REQ071. (was: Staff Management is blocked. Price: see REQ071 (Technical Staff can set prices on new products).)</t>
        </is>
      </c>
      <c r="G121" s="11" t="inlineStr">
        <is>
          <t>None</t>
        </is>
      </c>
      <c r="H121" s="11" t="inlineStr">
        <is>
          <t>Fixed together with REQ071.</t>
        </is>
      </c>
      <c r="I121" s="11" t="inlineStr">
        <is>
          <t>Med</t>
        </is>
      </c>
      <c r="J121" s="11" t="inlineStr">
        <is>
          <t>S</t>
        </is>
      </c>
      <c r="K121" s="11" t="inlineStr">
        <is>
          <t>p.61</t>
        </is>
      </c>
    </row>
    <row r="122">
      <c r="A122" s="11" t="inlineStr">
        <is>
          <t>REQ121</t>
        </is>
      </c>
      <c r="B122" s="11" t="inlineStr">
        <is>
          <t>Staff Management</t>
        </is>
      </c>
      <c r="C122" s="11" t="inlineStr">
        <is>
          <t>Sales Staff: walk-in orders + catalog viewing only</t>
        </is>
      </c>
      <c r="D122" s="13" t="inlineStr">
        <is>
          <t>Matches</t>
        </is>
      </c>
      <c r="E122" s="11" t="inlineStr">
        <is>
          <t>js/admin-roles.js:14</t>
        </is>
      </c>
      <c r="F122" s="11" t="inlineStr">
        <is>
          <t>57f4d80: Sales Staff limited to POS (with Today's Sales) + read-only catalog. (was: Sales Staff can also open Dashboard, Orders, Products (with editing), and Notifications. Orders access was added deliberately on 2026-10-01 for the Walk-in Orders tab.)</t>
        </is>
      </c>
      <c r="G122" s="11" t="inlineStr">
        <is>
          <t>None</t>
        </is>
      </c>
      <c r="H122" s="11" t="inlineStr">
        <is>
          <t>Client said Sales Staff is 'POS lang' (Interviews 2, 4). Either trim access, or reword REQ121 to include walk-in history.</t>
        </is>
      </c>
      <c r="I122" s="11" t="inlineStr">
        <is>
          <t>Med</t>
        </is>
      </c>
      <c r="J122" s="11" t="inlineStr">
        <is>
          <t>S</t>
        </is>
      </c>
      <c r="K122" s="11" t="inlineStr">
        <is>
          <t>p.61; Interviews 2, 4</t>
        </is>
      </c>
    </row>
    <row r="123">
      <c r="A123" s="11" t="inlineStr">
        <is>
          <t>REQ122</t>
        </is>
      </c>
      <c r="B123" s="11" t="inlineStr">
        <is>
          <t>Audit Log</t>
        </is>
      </c>
      <c r="C123" s="11" t="inlineStr">
        <is>
          <t>Log price changes, voids, wholesale exchanges, write-offs with user, time, record, before/after, reason</t>
        </is>
      </c>
      <c r="D123" s="14" t="inlineStr">
        <is>
          <t>Partial</t>
        </is>
      </c>
      <c r="E123" s="11" t="inlineStr">
        <is>
          <t>js/products-data.js:664</t>
        </is>
      </c>
      <c r="F123" s="11" t="inlineStr">
        <is>
          <t>Now also logs stock receiving, voids (reason), RX approvals/rejections, free-of-cost distributions and reconciliation variances with reason. Still free-text before/after; IP shown as '-'. (was: Logs price changes, write-offs, reconciliation, wholesale orders, account changes. Stock receiving is not logged (Fig 2.12 shows it). Voids and exchanges don't exist yet. Before/after values are free text, reasons mostly missing, IP shown as '-'.)</t>
        </is>
      </c>
      <c r="G123" s="11" t="inlineStr">
        <is>
          <t>Change system</t>
        </is>
      </c>
      <c r="H123" s="11" t="inlineStr">
        <is>
          <t>Comes with the void/exchange/reason work.</t>
        </is>
      </c>
      <c r="I123" s="11" t="inlineStr">
        <is>
          <t>Med</t>
        </is>
      </c>
      <c r="J123" s="11" t="inlineStr">
        <is>
          <t>M</t>
        </is>
      </c>
      <c r="K123" s="11" t="inlineStr">
        <is>
          <t>p.61</t>
        </is>
      </c>
    </row>
    <row r="124">
      <c r="A124" s="11" t="inlineStr">
        <is>
          <t>REQ123</t>
        </is>
      </c>
      <c r="B124" s="11" t="inlineStr">
        <is>
          <t>Audit Log</t>
        </is>
      </c>
      <c r="C124" s="11" t="inlineStr">
        <is>
          <t>Audit log accessible to BM and Technical Staff</t>
        </is>
      </c>
      <c r="D124" s="13" t="inlineStr">
        <is>
          <t>Matches</t>
        </is>
      </c>
      <c r="E124" s="11" t="inlineStr">
        <is>
          <t>js/admin-roles.js:14</t>
        </is>
      </c>
      <c r="F124" s="11" t="inlineStr">
        <is>
          <t>-</t>
        </is>
      </c>
      <c r="G124" s="11" t="inlineStr">
        <is>
          <t>None</t>
        </is>
      </c>
      <c r="H124" s="11" t="inlineStr"/>
      <c r="I124" s="11" t="inlineStr">
        <is>
          <t>Low</t>
        </is>
      </c>
      <c r="J124" s="11" t="inlineStr">
        <is>
          <t>-</t>
        </is>
      </c>
      <c r="K124" s="11" t="inlineStr">
        <is>
          <t>p.62</t>
        </is>
      </c>
    </row>
    <row r="125">
      <c r="A125" s="11" t="inlineStr">
        <is>
          <t>REQ124</t>
        </is>
      </c>
      <c r="B125" s="11" t="inlineStr">
        <is>
          <t>Audit Log</t>
        </is>
      </c>
      <c r="C125" s="11" t="inlineStr">
        <is>
          <t>Entries can't be edited or deleted</t>
        </is>
      </c>
      <c r="D125" s="13" t="inlineStr">
        <is>
          <t>Matches</t>
        </is>
      </c>
      <c r="E125" s="11" t="inlineStr">
        <is>
          <t>firestore.rules:156</t>
        </is>
      </c>
      <c r="F125" s="11" t="inlineStr">
        <is>
          <t>-</t>
        </is>
      </c>
      <c r="G125" s="11" t="inlineStr">
        <is>
          <t>None</t>
        </is>
      </c>
      <c r="H125" s="11" t="inlineStr"/>
      <c r="I125" s="11" t="inlineStr">
        <is>
          <t>Low</t>
        </is>
      </c>
      <c r="J125" s="11" t="inlineStr">
        <is>
          <t>-</t>
        </is>
      </c>
      <c r="K125" s="11" t="inlineStr">
        <is>
          <t>p.62</t>
        </is>
      </c>
    </row>
    <row r="126">
      <c r="A126" s="11" t="inlineStr">
        <is>
          <t>REQNF001</t>
        </is>
      </c>
      <c r="B126" s="11" t="inlineStr">
        <is>
          <t>Usability</t>
        </is>
      </c>
      <c r="C126" s="11" t="inlineStr">
        <is>
          <t>Consistent, organized layout</t>
        </is>
      </c>
      <c r="D126" s="13" t="inlineStr">
        <is>
          <t>Matches</t>
        </is>
      </c>
      <c r="E126" s="11" t="inlineStr">
        <is>
          <t>css/style.css</t>
        </is>
      </c>
      <c r="F126" s="11" t="inlineStr">
        <is>
          <t>-</t>
        </is>
      </c>
      <c r="G126" s="11" t="inlineStr">
        <is>
          <t>None</t>
        </is>
      </c>
      <c r="H126" s="11" t="inlineStr"/>
      <c r="I126" s="11" t="inlineStr">
        <is>
          <t>Low</t>
        </is>
      </c>
      <c r="J126" s="11" t="inlineStr">
        <is>
          <t>-</t>
        </is>
      </c>
      <c r="K126" s="11" t="inlineStr">
        <is>
          <t>p.62</t>
        </is>
      </c>
    </row>
    <row r="127">
      <c r="A127" s="11" t="inlineStr">
        <is>
          <t>REQNF002</t>
        </is>
      </c>
      <c r="B127" s="11" t="inlineStr">
        <is>
          <t>Usability</t>
        </is>
      </c>
      <c r="C127" s="11" t="inlineStr">
        <is>
          <t>Meaningful feedback messages</t>
        </is>
      </c>
      <c r="D127" s="13" t="inlineStr">
        <is>
          <t>Matches</t>
        </is>
      </c>
      <c r="E127" s="11" t="inlineStr">
        <is>
          <t>js/products-data.js (showAppAlert)</t>
        </is>
      </c>
      <c r="F127" s="11" t="inlineStr">
        <is>
          <t>-</t>
        </is>
      </c>
      <c r="G127" s="11" t="inlineStr">
        <is>
          <t>None</t>
        </is>
      </c>
      <c r="H127" s="11" t="inlineStr"/>
      <c r="I127" s="11" t="inlineStr">
        <is>
          <t>Low</t>
        </is>
      </c>
      <c r="J127" s="11" t="inlineStr">
        <is>
          <t>-</t>
        </is>
      </c>
      <c r="K127" s="11" t="inlineStr">
        <is>
          <t>p.62</t>
        </is>
      </c>
    </row>
    <row r="128">
      <c r="A128" s="11" t="inlineStr">
        <is>
          <t>REQNF003</t>
        </is>
      </c>
      <c r="B128" s="11" t="inlineStr">
        <is>
          <t>Usability</t>
        </is>
      </c>
      <c r="C128" s="11" t="inlineStr">
        <is>
          <t>Works on desktop, laptop, tablet, phone</t>
        </is>
      </c>
      <c r="D128" s="17" t="inlineStr">
        <is>
          <t>Not verified</t>
        </is>
      </c>
      <c r="E128" s="11" t="inlineStr">
        <is>
          <t>Bootstrap 5 responsive</t>
        </is>
      </c>
      <c r="F128" s="11" t="inlineStr">
        <is>
          <t>Not yet tested on real phones/tablets.</t>
        </is>
      </c>
      <c r="G128" s="11" t="inlineStr">
        <is>
          <t>Change system</t>
        </is>
      </c>
      <c r="H128" s="11" t="inlineStr">
        <is>
          <t>Quick Playwright pass at phone widths.</t>
        </is>
      </c>
      <c r="I128" s="11" t="inlineStr">
        <is>
          <t>Med</t>
        </is>
      </c>
      <c r="J128" s="11" t="inlineStr">
        <is>
          <t>S</t>
        </is>
      </c>
      <c r="K128" s="11" t="inlineStr">
        <is>
          <t>p.62</t>
        </is>
      </c>
    </row>
    <row r="129">
      <c r="A129" s="11" t="inlineStr">
        <is>
          <t>REQNF004</t>
        </is>
      </c>
      <c r="B129" s="11" t="inlineStr">
        <is>
          <t>Performance</t>
        </is>
      </c>
      <c r="C129" s="11" t="inlineStr">
        <is>
          <t>Standard operations load in reasonable time</t>
        </is>
      </c>
      <c r="D129" s="17" t="inlineStr">
        <is>
          <t>Not verified</t>
        </is>
      </c>
      <c r="E129" s="11" t="inlineStr">
        <is>
          <t>-</t>
        </is>
      </c>
      <c r="F129" s="11" t="inlineStr">
        <is>
          <t>Not measured. Several pages read whole collections.</t>
        </is>
      </c>
      <c r="G129" s="11" t="inlineStr">
        <is>
          <t>None</t>
        </is>
      </c>
      <c r="H129" s="11" t="inlineStr">
        <is>
          <t>Fine at client's volume (~50-100 customers/week, Interview 4).</t>
        </is>
      </c>
      <c r="I129" s="11" t="inlineStr">
        <is>
          <t>Low</t>
        </is>
      </c>
      <c r="J129" s="11" t="inlineStr">
        <is>
          <t>-</t>
        </is>
      </c>
      <c r="K129" s="11" t="inlineStr">
        <is>
          <t>p.62</t>
        </is>
      </c>
    </row>
    <row r="130">
      <c r="A130" s="11" t="inlineStr">
        <is>
          <t>REQNF005</t>
        </is>
      </c>
      <c r="B130" s="11" t="inlineStr">
        <is>
          <t>Performance</t>
        </is>
      </c>
      <c r="C130" s="11" t="inlineStr">
        <is>
          <t>Inventory/order changes appear without manual refresh</t>
        </is>
      </c>
      <c r="D130" s="13" t="inlineStr">
        <is>
          <t>Matches</t>
        </is>
      </c>
      <c r="E130" s="11" t="inlineStr">
        <is>
          <t>all pages use one-time .get() reads</t>
        </is>
      </c>
      <c r="F130" s="11" t="inlineStr">
        <is>
          <t>21e505b: online orders, inventory, POS today's sales, customer order list and order page, and chat update live. Dashboard tiles refresh on load. (was: Users must reload to see new orders or stock changes.)</t>
        </is>
      </c>
      <c r="G130" s="11" t="inlineStr">
        <is>
          <t>None</t>
        </is>
      </c>
      <c r="H130" s="11" t="inlineStr">
        <is>
          <t>Live listeners on key screens (verification queue, customer order page) are moderate work; or reword.</t>
        </is>
      </c>
      <c r="I130" s="11" t="inlineStr">
        <is>
          <t>Med</t>
        </is>
      </c>
      <c r="J130" s="11" t="inlineStr">
        <is>
          <t>M</t>
        </is>
      </c>
      <c r="K130" s="11" t="inlineStr">
        <is>
          <t>p.63</t>
        </is>
      </c>
    </row>
    <row r="131">
      <c r="A131" s="11" t="inlineStr">
        <is>
          <t>REQNF006</t>
        </is>
      </c>
      <c r="B131" s="11" t="inlineStr">
        <is>
          <t>Performance</t>
        </is>
      </c>
      <c r="C131" s="11" t="inlineStr">
        <is>
          <t>Reports in reasonable time</t>
        </is>
      </c>
      <c r="D131" s="13" t="inlineStr">
        <is>
          <t>Matches</t>
        </is>
      </c>
      <c r="E131" s="11" t="inlineStr">
        <is>
          <t>-</t>
        </is>
      </c>
      <c r="F131" s="11" t="inlineStr">
        <is>
          <t>Reports query only the chosen period's sales, write-offs and POs. (was: Reports not built yet.)</t>
        </is>
      </c>
      <c r="G131" s="11" t="inlineStr">
        <is>
          <t>None</t>
        </is>
      </c>
      <c r="H131" s="11" t="inlineStr"/>
      <c r="I131" s="11" t="inlineStr">
        <is>
          <t>Low</t>
        </is>
      </c>
      <c r="J131" s="11" t="inlineStr">
        <is>
          <t>-</t>
        </is>
      </c>
      <c r="K131" s="11" t="inlineStr">
        <is>
          <t>p.63</t>
        </is>
      </c>
    </row>
    <row r="132">
      <c r="A132" s="11" t="inlineStr">
        <is>
          <t>REQNF007</t>
        </is>
      </c>
      <c r="B132" s="11" t="inlineStr">
        <is>
          <t>Compatibility</t>
        </is>
      </c>
      <c r="C132" s="11" t="inlineStr">
        <is>
          <t>Chrome, Firefox, Edge, Safari</t>
        </is>
      </c>
      <c r="D132" s="17" t="inlineStr">
        <is>
          <t>Not verified</t>
        </is>
      </c>
      <c r="E132" s="11" t="inlineStr">
        <is>
          <t>-</t>
        </is>
      </c>
      <c r="F132" s="11" t="inlineStr">
        <is>
          <t>Not tested across browsers.</t>
        </is>
      </c>
      <c r="G132" s="11" t="inlineStr">
        <is>
          <t>Change system</t>
        </is>
      </c>
      <c r="H132" s="11" t="inlineStr">
        <is>
          <t>Test before defense.</t>
        </is>
      </c>
      <c r="I132" s="11" t="inlineStr">
        <is>
          <t>Low</t>
        </is>
      </c>
      <c r="J132" s="11" t="inlineStr">
        <is>
          <t>S</t>
        </is>
      </c>
      <c r="K132" s="11" t="inlineStr">
        <is>
          <t>p.63</t>
        </is>
      </c>
    </row>
    <row r="133">
      <c r="A133" s="11" t="inlineStr">
        <is>
          <t>REQNF008</t>
        </is>
      </c>
      <c r="B133" s="11" t="inlineStr">
        <is>
          <t>Compatibility</t>
        </is>
      </c>
      <c r="C133" s="11" t="inlineStr">
        <is>
          <t>Integrates OpenAI, EmailJS, QR PH</t>
        </is>
      </c>
      <c r="D133" s="14" t="inlineStr">
        <is>
          <t>Partial</t>
        </is>
      </c>
      <c r="E133" s="11" t="inlineStr">
        <is>
          <t>js/otp.js; js/emailjs-config.js</t>
        </is>
      </c>
      <c r="F133" s="11" t="inlineStr">
        <is>
          <t>EmailJS works; AI is Gemini via Firebase AI Logic (paper: OpenAI); QR Ph image still missing. (was: EmailJS works; QR PH is a static image (missing, see REQ028); OpenAI not integrated.)</t>
        </is>
      </c>
      <c r="G133" s="11" t="inlineStr">
        <is>
          <t>Decision needed</t>
        </is>
      </c>
      <c r="H133" s="11" t="inlineStr">
        <is>
          <t>Follows the live chat decision.</t>
        </is>
      </c>
      <c r="I133" s="11" t="inlineStr">
        <is>
          <t>Med</t>
        </is>
      </c>
      <c r="J133" s="11" t="inlineStr">
        <is>
          <t>-</t>
        </is>
      </c>
      <c r="K133" s="11" t="inlineStr">
        <is>
          <t>p.63</t>
        </is>
      </c>
    </row>
    <row r="134">
      <c r="A134" s="11" t="inlineStr">
        <is>
          <t>REQNF009</t>
        </is>
      </c>
      <c r="B134" s="11" t="inlineStr">
        <is>
          <t>Security</t>
        </is>
      </c>
      <c r="C134" s="11" t="inlineStr">
        <is>
          <t>Passwords securely hashed, never exposed</t>
        </is>
      </c>
      <c r="D134" s="13" t="inlineStr">
        <is>
          <t>Matches</t>
        </is>
      </c>
      <c r="E134" s="11" t="inlineStr">
        <is>
          <t>Firebase Auth</t>
        </is>
      </c>
      <c r="F134" s="11" t="inlineStr">
        <is>
          <t>Handled by Firebase Auth.</t>
        </is>
      </c>
      <c r="G134" s="11" t="inlineStr">
        <is>
          <t>None</t>
        </is>
      </c>
      <c r="H134" s="11" t="inlineStr"/>
      <c r="I134" s="11" t="inlineStr">
        <is>
          <t>Low</t>
        </is>
      </c>
      <c r="J134" s="11" t="inlineStr">
        <is>
          <t>-</t>
        </is>
      </c>
      <c r="K134" s="11" t="inlineStr">
        <is>
          <t>p.63</t>
        </is>
      </c>
    </row>
    <row r="135">
      <c r="A135" s="11" t="inlineStr">
        <is>
          <t>REQNF010</t>
        </is>
      </c>
      <c r="B135" s="11" t="inlineStr">
        <is>
          <t>Security</t>
        </is>
      </c>
      <c r="C135" s="11" t="inlineStr">
        <is>
          <t>Encrypted connection</t>
        </is>
      </c>
      <c r="D135" s="14" t="inlineStr">
        <is>
          <t>Partial</t>
        </is>
      </c>
      <c r="E135" s="11" t="inlineStr">
        <is>
          <t>start-server.bat (http-server)</t>
        </is>
      </c>
      <c r="F135" s="11" t="inlineStr">
        <is>
          <t>Firebase calls are HTTPS, but the site itself is served over plain HTTP locally; no hosted deployment.</t>
        </is>
      </c>
      <c r="G135" s="11" t="inlineStr">
        <is>
          <t>Decision needed</t>
        </is>
      </c>
      <c r="H135" s="11" t="inlineStr">
        <is>
          <t>Resolved by deploying (see REQNF013).</t>
        </is>
      </c>
      <c r="I135" s="11" t="inlineStr">
        <is>
          <t>Med</t>
        </is>
      </c>
      <c r="J135" s="11" t="inlineStr">
        <is>
          <t>-</t>
        </is>
      </c>
      <c r="K135" s="11" t="inlineStr">
        <is>
          <t>p.63</t>
        </is>
      </c>
    </row>
    <row r="136">
      <c r="A136" s="11" t="inlineStr">
        <is>
          <t>REQNF011</t>
        </is>
      </c>
      <c r="B136" s="11" t="inlineStr">
        <is>
          <t>Security</t>
        </is>
      </c>
      <c r="C136" s="11" t="inlineStr">
        <is>
          <t>RBAC: customers can't reach admin; each staff role limited</t>
        </is>
      </c>
      <c r="D136" s="14" t="inlineStr">
        <is>
          <t>Partial</t>
        </is>
      </c>
      <c r="E136" s="11" t="inlineStr">
        <is>
          <t>js/admin-roles.js; firestore.rules:18</t>
        </is>
      </c>
      <c r="F136" s="11" t="inlineStr">
        <is>
          <t>Pages are restricted per role in the browser, but the database rules treat every staff role the same.</t>
        </is>
      </c>
      <c r="G136" s="11" t="inlineStr">
        <is>
          <t>Change system</t>
        </is>
      </c>
      <c r="H136" s="11" t="inlineStr">
        <is>
          <t>Tighten rules for prices, staff accounts, reconciliation.</t>
        </is>
      </c>
      <c r="I136" s="11" t="inlineStr">
        <is>
          <t>Med</t>
        </is>
      </c>
      <c r="J136" s="11" t="inlineStr">
        <is>
          <t>M</t>
        </is>
      </c>
      <c r="K136" s="11" t="inlineStr">
        <is>
          <t>p.63</t>
        </is>
      </c>
    </row>
    <row r="137">
      <c r="A137" s="11" t="inlineStr">
        <is>
          <t>REQNF012</t>
        </is>
      </c>
      <c r="B137" s="11" t="inlineStr">
        <is>
          <t>Security</t>
        </is>
      </c>
      <c r="C137" s="11" t="inlineStr">
        <is>
          <t>No patient data sent to OpenAI</t>
        </is>
      </c>
      <c r="D137" s="18" t="inlineStr">
        <is>
          <t>N/A</t>
        </is>
      </c>
      <c r="E137" s="11" t="inlineStr">
        <is>
          <t>-</t>
        </is>
      </c>
      <c r="F137" s="11" t="inlineStr">
        <is>
          <t>No AI chat yet.</t>
        </is>
      </c>
      <c r="G137" s="11" t="inlineStr">
        <is>
          <t>None</t>
        </is>
      </c>
      <c r="H137" s="11" t="inlineStr">
        <is>
          <t>Applies only if chat is built.</t>
        </is>
      </c>
      <c r="I137" s="11" t="inlineStr">
        <is>
          <t>Low</t>
        </is>
      </c>
      <c r="J137" s="11" t="inlineStr">
        <is>
          <t>-</t>
        </is>
      </c>
      <c r="K137" s="11" t="inlineStr">
        <is>
          <t>p.63</t>
        </is>
      </c>
    </row>
    <row r="138">
      <c r="A138" s="11" t="inlineStr">
        <is>
          <t>REQNF013</t>
        </is>
      </c>
      <c r="B138" s="11" t="inlineStr">
        <is>
          <t>Reliability</t>
        </is>
      </c>
      <c r="C138" s="11" t="inlineStr">
        <is>
          <t>Hosted with uptime + recovery</t>
        </is>
      </c>
      <c r="D138" s="15" t="inlineStr">
        <is>
          <t>Missing</t>
        </is>
      </c>
      <c r="E138" s="11" t="inlineStr">
        <is>
          <t>-</t>
        </is>
      </c>
      <c r="F138" s="11" t="inlineStr">
        <is>
          <t>Not hosted (Netlify blocked by billing); runs locally via http-server.</t>
        </is>
      </c>
      <c r="G138" s="11" t="inlineStr">
        <is>
          <t>Decision needed</t>
        </is>
      </c>
      <c r="H138" s="11" t="inlineStr">
        <is>
          <t>Firebase Hosting (free, HTTPS) is an option; otherwise move hosting to Limitations.</t>
        </is>
      </c>
      <c r="I138" s="11" t="inlineStr">
        <is>
          <t>Med</t>
        </is>
      </c>
      <c r="J138" s="11" t="inlineStr">
        <is>
          <t>S</t>
        </is>
      </c>
      <c r="K138" s="11" t="inlineStr">
        <is>
          <t>p.64</t>
        </is>
      </c>
    </row>
    <row r="139">
      <c r="A139" s="11" t="inlineStr">
        <is>
          <t>REQNF014</t>
        </is>
      </c>
      <c r="B139" s="11" t="inlineStr">
        <is>
          <t>Reliability</t>
        </is>
      </c>
      <c r="C139" s="11" t="inlineStr">
        <is>
          <t>Descriptive error messages</t>
        </is>
      </c>
      <c r="D139" s="13" t="inlineStr">
        <is>
          <t>Matches</t>
        </is>
      </c>
      <c r="E139" s="11" t="inlineStr">
        <is>
          <t>js/*</t>
        </is>
      </c>
      <c r="F139" s="11" t="inlineStr">
        <is>
          <t>-</t>
        </is>
      </c>
      <c r="G139" s="11" t="inlineStr">
        <is>
          <t>None</t>
        </is>
      </c>
      <c r="H139" s="11" t="inlineStr"/>
      <c r="I139" s="11" t="inlineStr">
        <is>
          <t>Low</t>
        </is>
      </c>
      <c r="J139" s="11" t="inlineStr">
        <is>
          <t>-</t>
        </is>
      </c>
      <c r="K139" s="11" t="inlineStr">
        <is>
          <t>p.64</t>
        </is>
      </c>
    </row>
    <row r="140">
      <c r="A140" s="11" t="inlineStr">
        <is>
          <t>REQNF015</t>
        </is>
      </c>
      <c r="B140" s="11" t="inlineStr">
        <is>
          <t>Scalability</t>
        </is>
      </c>
      <c r="C140" s="11" t="inlineStr">
        <is>
          <t>Supports growth without structural change</t>
        </is>
      </c>
      <c r="D140" s="13" t="inlineStr">
        <is>
          <t>Matches</t>
        </is>
      </c>
      <c r="E140" s="11" t="inlineStr">
        <is>
          <t>Firestore</t>
        </is>
      </c>
      <c r="F140" s="11" t="inlineStr">
        <is>
          <t>-</t>
        </is>
      </c>
      <c r="G140" s="11" t="inlineStr">
        <is>
          <t>None</t>
        </is>
      </c>
      <c r="H140" s="11" t="inlineStr"/>
      <c r="I140" s="11" t="inlineStr">
        <is>
          <t>Low</t>
        </is>
      </c>
      <c r="J140" s="11" t="inlineStr">
        <is>
          <t>-</t>
        </is>
      </c>
      <c r="K140" s="11" t="inlineStr">
        <is>
          <t>p.64</t>
        </is>
      </c>
    </row>
    <row r="141">
      <c r="A141" s="11" t="inlineStr">
        <is>
          <t>REQNF016</t>
        </is>
      </c>
      <c r="B141" s="11" t="inlineStr">
        <is>
          <t>Scalability</t>
        </is>
      </c>
      <c r="C141" s="11" t="inlineStr">
        <is>
          <t>New branches addable later</t>
        </is>
      </c>
      <c r="D141" s="13" t="inlineStr">
        <is>
          <t>Matches</t>
        </is>
      </c>
      <c r="E141" s="11" t="inlineStr">
        <is>
          <t>-</t>
        </is>
      </c>
      <c r="F141" s="11" t="inlineStr">
        <is>
          <t>Single-branch by design (Limitations).</t>
        </is>
      </c>
      <c r="G141" s="11" t="inlineStr">
        <is>
          <t>None</t>
        </is>
      </c>
      <c r="H141" s="11" t="inlineStr"/>
      <c r="I141" s="11" t="inlineStr">
        <is>
          <t>Low</t>
        </is>
      </c>
      <c r="J141" s="11" t="inlineStr">
        <is>
          <t>-</t>
        </is>
      </c>
      <c r="K141" s="11" t="inlineStr">
        <is>
          <t>p.64</t>
        </is>
      </c>
    </row>
    <row r="142">
      <c r="A142" s="11" t="inlineStr">
        <is>
          <t>REQNF017</t>
        </is>
      </c>
      <c r="B142" s="11" t="inlineStr">
        <is>
          <t>Maintainability</t>
        </is>
      </c>
      <c r="C142" s="11" t="inlineStr">
        <is>
          <t>Modular code with documentation</t>
        </is>
      </c>
      <c r="D142" s="13" t="inlineStr">
        <is>
          <t>Matches</t>
        </is>
      </c>
      <c r="E142" s="11" t="inlineStr">
        <is>
          <t>js/*</t>
        </is>
      </c>
      <c r="F142" s="11" t="inlineStr">
        <is>
          <t>77336f3: README with setup, services, rules publishing, roles and deployment. (was: Modular, but no README or setup documentation (an error message even points to a missing README.md).)</t>
        </is>
      </c>
      <c r="G142" s="11" t="inlineStr">
        <is>
          <t>None</t>
        </is>
      </c>
      <c r="H142" s="11" t="inlineStr">
        <is>
          <t>Write a README.</t>
        </is>
      </c>
      <c r="I142" s="11" t="inlineStr">
        <is>
          <t>Low</t>
        </is>
      </c>
      <c r="J142" s="11" t="inlineStr">
        <is>
          <t>S</t>
        </is>
      </c>
      <c r="K142" s="11" t="inlineStr">
        <is>
          <t>p.64</t>
        </is>
      </c>
    </row>
    <row r="143">
      <c r="A143" s="11" t="inlineStr">
        <is>
          <t>REQNF018</t>
        </is>
      </c>
      <c r="B143" s="11" t="inlineStr">
        <is>
          <t>Maintainability</t>
        </is>
      </c>
      <c r="C143" s="11" t="inlineStr">
        <is>
          <t>Admins manage products/users/inventory without a developer</t>
        </is>
      </c>
      <c r="D143" s="13" t="inlineStr">
        <is>
          <t>Matches</t>
        </is>
      </c>
      <c r="E143" s="11" t="inlineStr">
        <is>
          <t>admin/*</t>
        </is>
      </c>
      <c r="F143" s="11" t="inlineStr">
        <is>
          <t>-</t>
        </is>
      </c>
      <c r="G143" s="11" t="inlineStr">
        <is>
          <t>None</t>
        </is>
      </c>
      <c r="H143" s="11" t="inlineStr"/>
      <c r="I143" s="11" t="inlineStr">
        <is>
          <t>Low</t>
        </is>
      </c>
      <c r="J143" s="11" t="inlineStr">
        <is>
          <t>-</t>
        </is>
      </c>
      <c r="K143" s="11" t="inlineStr">
        <is>
          <t>p.64</t>
        </is>
      </c>
    </row>
    <row r="144">
      <c r="A144" s="11" t="inlineStr">
        <is>
          <t>REQNF019</t>
        </is>
      </c>
      <c r="B144" s="11" t="inlineStr">
        <is>
          <t>Portability</t>
        </is>
      </c>
      <c r="C144" s="11" t="inlineStr">
        <is>
          <t>Deployable elsewhere without restructuring</t>
        </is>
      </c>
      <c r="D144" s="13" t="inlineStr">
        <is>
          <t>Matches</t>
        </is>
      </c>
      <c r="E144" s="11" t="inlineStr">
        <is>
          <t>static site</t>
        </is>
      </c>
      <c r="F144" s="11" t="inlineStr">
        <is>
          <t>-</t>
        </is>
      </c>
      <c r="G144" s="11" t="inlineStr">
        <is>
          <t>None</t>
        </is>
      </c>
      <c r="H144" s="11" t="inlineStr"/>
      <c r="I144" s="11" t="inlineStr">
        <is>
          <t>Low</t>
        </is>
      </c>
      <c r="J144" s="11" t="inlineStr">
        <is>
          <t>-</t>
        </is>
      </c>
      <c r="K144" s="11" t="inlineStr">
        <is>
          <t>p.65</t>
        </is>
      </c>
    </row>
    <row r="145">
      <c r="A145" s="11" t="inlineStr">
        <is>
          <t>REQNF020</t>
        </is>
      </c>
      <c r="B145" s="11" t="inlineStr">
        <is>
          <t>Portability</t>
        </is>
      </c>
      <c r="C145" s="11" t="inlineStr">
        <is>
          <t>Data export in PDF and Excel</t>
        </is>
      </c>
      <c r="D145" s="13" t="inlineStr">
        <is>
          <t>Matches</t>
        </is>
      </c>
      <c r="E145" s="11" t="inlineStr">
        <is>
          <t>js/admin-dashboard.js:471</t>
        </is>
      </c>
      <c r="F145" s="11" t="inlineStr">
        <is>
          <t>Every report and Export button gives PDF or Excel. (was: Only Sales Analytics exports.)</t>
        </is>
      </c>
      <c r="G145" s="11" t="inlineStr">
        <is>
          <t>None</t>
        </is>
      </c>
      <c r="H145" s="11" t="inlineStr">
        <is>
          <t>Comes with the Reports module.</t>
        </is>
      </c>
      <c r="I145" s="11" t="inlineStr">
        <is>
          <t>High</t>
        </is>
      </c>
      <c r="J145" s="11" t="inlineStr">
        <is>
          <t>-</t>
        </is>
      </c>
      <c r="K145" s="11" t="inlineStr">
        <is>
          <t>p.65</t>
        </is>
      </c>
    </row>
    <row r="146">
      <c r="A146" s="11" t="inlineStr">
        <is>
          <t>REQNF021</t>
        </is>
      </c>
      <c r="B146" s="11" t="inlineStr">
        <is>
          <t>Accessibility</t>
        </is>
      </c>
      <c r="C146" s="11" t="inlineStr">
        <is>
          <t>Usable with basic digital literacy</t>
        </is>
      </c>
      <c r="D146" s="17" t="inlineStr">
        <is>
          <t>Not verified</t>
        </is>
      </c>
      <c r="E146" s="11" t="inlineStr">
        <is>
          <t>-</t>
        </is>
      </c>
      <c r="F146" s="11" t="inlineStr">
        <is>
          <t>To be confirmed in the TAM evaluation.</t>
        </is>
      </c>
      <c r="G146" s="11" t="inlineStr">
        <is>
          <t>None</t>
        </is>
      </c>
      <c r="H146" s="11" t="inlineStr"/>
      <c r="I146" s="11" t="inlineStr">
        <is>
          <t>Low</t>
        </is>
      </c>
      <c r="J146" s="11" t="inlineStr">
        <is>
          <t>-</t>
        </is>
      </c>
      <c r="K146" s="11" t="inlineStr">
        <is>
          <t>p.65</t>
        </is>
      </c>
    </row>
    <row r="147">
      <c r="A147" s="11" t="inlineStr">
        <is>
          <t>REQNF022</t>
        </is>
      </c>
      <c r="B147" s="11" t="inlineStr">
        <is>
          <t>Accessibility</t>
        </is>
      </c>
      <c r="C147" s="11" t="inlineStr">
        <is>
          <t>Any modern browser, no install</t>
        </is>
      </c>
      <c r="D147" s="13" t="inlineStr">
        <is>
          <t>Matches</t>
        </is>
      </c>
      <c r="E147" s="11" t="inlineStr">
        <is>
          <t>-</t>
        </is>
      </c>
      <c r="F147" s="11" t="inlineStr">
        <is>
          <t>-</t>
        </is>
      </c>
      <c r="G147" s="11" t="inlineStr">
        <is>
          <t>None</t>
        </is>
      </c>
      <c r="H147" s="11" t="inlineStr"/>
      <c r="I147" s="11" t="inlineStr">
        <is>
          <t>Low</t>
        </is>
      </c>
      <c r="J147" s="11" t="inlineStr">
        <is>
          <t>-</t>
        </is>
      </c>
      <c r="K147" s="11" t="inlineStr">
        <is>
          <t>p.65</t>
        </is>
      </c>
    </row>
    <row r="148">
      <c r="A148" s="11" t="inlineStr">
        <is>
          <t>REQNF023</t>
        </is>
      </c>
      <c r="B148" s="11" t="inlineStr">
        <is>
          <t>Adaptability</t>
        </is>
      </c>
      <c r="C148" s="11" t="inlineStr">
        <is>
          <t>New features without rebuild</t>
        </is>
      </c>
      <c r="D148" s="13" t="inlineStr">
        <is>
          <t>Matches</t>
        </is>
      </c>
      <c r="E148" s="11" t="inlineStr">
        <is>
          <t>-</t>
        </is>
      </c>
      <c r="F148" s="11" t="inlineStr">
        <is>
          <t>-</t>
        </is>
      </c>
      <c r="G148" s="11" t="inlineStr">
        <is>
          <t>None</t>
        </is>
      </c>
      <c r="H148" s="11" t="inlineStr"/>
      <c r="I148" s="11" t="inlineStr">
        <is>
          <t>Low</t>
        </is>
      </c>
      <c r="J148" s="11" t="inlineStr">
        <is>
          <t>-</t>
        </is>
      </c>
      <c r="K148" s="11" t="inlineStr">
        <is>
          <t>p.65</t>
        </is>
      </c>
    </row>
    <row r="149">
      <c r="A149" s="11" t="inlineStr">
        <is>
          <t>REQNF024</t>
        </is>
      </c>
      <c r="B149" s="11" t="inlineStr">
        <is>
          <t>Adaptability</t>
        </is>
      </c>
      <c r="C149" s="11" t="inlineStr">
        <is>
          <t>Future courier/payment/SMS integration</t>
        </is>
      </c>
      <c r="D149" s="13" t="inlineStr">
        <is>
          <t>Matches</t>
        </is>
      </c>
      <c r="E149" s="11" t="inlineStr">
        <is>
          <t>-</t>
        </is>
      </c>
      <c r="F149" s="11" t="inlineStr">
        <is>
          <t>-</t>
        </is>
      </c>
      <c r="G149" s="11" t="inlineStr">
        <is>
          <t>None</t>
        </is>
      </c>
      <c r="H149" s="11" t="inlineStr"/>
      <c r="I149" s="11" t="inlineStr">
        <is>
          <t>Low</t>
        </is>
      </c>
      <c r="J149" s="11" t="inlineStr">
        <is>
          <t>-</t>
        </is>
      </c>
      <c r="K149" s="11" t="inlineStr">
        <is>
          <t>p.65</t>
        </is>
      </c>
    </row>
    <row r="150">
      <c r="A150" s="11" t="inlineStr">
        <is>
          <t>REQNF025</t>
        </is>
      </c>
      <c r="B150" s="11" t="inlineStr">
        <is>
          <t>Compliance</t>
        </is>
      </c>
      <c r="C150" s="11" t="inlineStr">
        <is>
          <t>Data Privacy Act 2012</t>
        </is>
      </c>
      <c r="D150" s="13" t="inlineStr">
        <is>
          <t>Matches</t>
        </is>
      </c>
      <c r="E150" s="11" t="inlineStr">
        <is>
          <t>footer links href='#'</t>
        </is>
      </c>
      <c r="F150" s="11" t="inlineStr">
        <is>
          <t>Privacy Policy rewritten for the Data Privacy Act and linked from every footer (client to review). (was: Terms/Privacy shown at registration, but footer Privacy Policy and Terms links go nowhere.)</t>
        </is>
      </c>
      <c r="G150" s="11" t="inlineStr">
        <is>
          <t>None</t>
        </is>
      </c>
      <c r="H150" s="11" t="inlineStr">
        <is>
          <t>Point footer links to the existing legal text.</t>
        </is>
      </c>
      <c r="I150" s="11" t="inlineStr">
        <is>
          <t>Med</t>
        </is>
      </c>
      <c r="J150" s="11" t="inlineStr">
        <is>
          <t>S</t>
        </is>
      </c>
      <c r="K150" s="11" t="inlineStr">
        <is>
          <t>p.65</t>
        </is>
      </c>
    </row>
    <row r="151">
      <c r="A151" s="11" t="inlineStr">
        <is>
          <t>REQNF026</t>
        </is>
      </c>
      <c r="B151" s="11" t="inlineStr">
        <is>
          <t>Cultural</t>
        </is>
      </c>
      <c r="C151" s="11" t="inlineStr">
        <is>
          <t>English throughout</t>
        </is>
      </c>
      <c r="D151" s="13" t="inlineStr">
        <is>
          <t>Matches</t>
        </is>
      </c>
      <c r="E151" s="11" t="inlineStr">
        <is>
          <t>-</t>
        </is>
      </c>
      <c r="F151" s="11" t="inlineStr">
        <is>
          <t>-</t>
        </is>
      </c>
      <c r="G151" s="11" t="inlineStr">
        <is>
          <t>None</t>
        </is>
      </c>
      <c r="H151" s="11" t="inlineStr"/>
      <c r="I151" s="11" t="inlineStr">
        <is>
          <t>Low</t>
        </is>
      </c>
      <c r="J151" s="11" t="inlineStr">
        <is>
          <t>-</t>
        </is>
      </c>
      <c r="K151" s="11" t="inlineStr">
        <is>
          <t>p.66</t>
        </is>
      </c>
    </row>
    <row r="152">
      <c r="A152" s="11" t="inlineStr">
        <is>
          <t>REQNF027</t>
        </is>
      </c>
      <c r="B152" s="11" t="inlineStr">
        <is>
          <t>Cultural</t>
        </is>
      </c>
      <c r="C152" s="11" t="inlineStr">
        <is>
          <t>Peso with 2 decimals and commas</t>
        </is>
      </c>
      <c r="D152" s="13" t="inlineStr">
        <is>
          <t>Matches</t>
        </is>
      </c>
      <c r="E152" s="11" t="inlineStr">
        <is>
          <t>js/products-data.js (formatPeso)</t>
        </is>
      </c>
      <c r="F152" s="11" t="inlineStr">
        <is>
          <t>-</t>
        </is>
      </c>
      <c r="G152" s="11" t="inlineStr">
        <is>
          <t>None</t>
        </is>
      </c>
      <c r="H152" s="11" t="inlineStr"/>
      <c r="I152" s="11" t="inlineStr">
        <is>
          <t>Low</t>
        </is>
      </c>
      <c r="J152" s="11" t="inlineStr">
        <is>
          <t>-</t>
        </is>
      </c>
      <c r="K152" s="11" t="inlineStr">
        <is>
          <t>p.66</t>
        </is>
      </c>
    </row>
    <row r="153">
      <c r="A153" s="11" t="inlineStr">
        <is>
          <t>REQNF028</t>
        </is>
      </c>
      <c r="B153" s="11" t="inlineStr">
        <is>
          <t>Cultural</t>
        </is>
      </c>
      <c r="C153" s="11" t="inlineStr">
        <is>
          <t>Dates MM/DD/YYYY, 12-hour AM/PM</t>
        </is>
      </c>
      <c r="D153" s="13" t="inlineStr">
        <is>
          <t>Matches</t>
        </is>
      </c>
      <c r="E153" s="11" t="inlineStr">
        <is>
          <t>js/admin-inventory.js:210; js/admin-audit-log.js:63</t>
        </is>
      </c>
      <c r="F153" s="11" t="inlineStr">
        <is>
          <t>847c877: one MM/DD/YYYY + 12-hour formatter on every screen, receipt and export. (was: Several screens use 'Oct 18, 2026' or 'October 2026'; the audit log uses a 2-digit hour.)</t>
        </is>
      </c>
      <c r="G153" s="11" t="inlineStr">
        <is>
          <t>None</t>
        </is>
      </c>
      <c r="H153" s="11" t="inlineStr">
        <is>
          <t>Small: one shared date formatter.</t>
        </is>
      </c>
      <c r="I153" s="11" t="inlineStr">
        <is>
          <t>Low</t>
        </is>
      </c>
      <c r="J153" s="11" t="inlineStr">
        <is>
          <t>S</t>
        </is>
      </c>
      <c r="K153" s="11" t="inlineStr">
        <is>
          <t>p.66</t>
        </is>
      </c>
    </row>
    <row r="154">
      <c r="A154" s="11" t="inlineStr">
        <is>
          <t>REQNF029</t>
        </is>
      </c>
      <c r="B154" s="11" t="inlineStr">
        <is>
          <t>Cultural</t>
        </is>
      </c>
      <c r="C154" s="11" t="inlineStr">
        <is>
          <t>Clear, professional language</t>
        </is>
      </c>
      <c r="D154" s="13" t="inlineStr">
        <is>
          <t>Matches</t>
        </is>
      </c>
      <c r="E154" s="11" t="inlineStr">
        <is>
          <t>shop/*.html footer</t>
        </is>
      </c>
      <c r="F154" s="11" t="inlineStr">
        <is>
          <t>Filler text removed from the footer. (was: Footer says 'Amson about description sample text'.)</t>
        </is>
      </c>
      <c r="G154" s="11" t="inlineStr">
        <is>
          <t>None</t>
        </is>
      </c>
      <c r="H154" s="11" t="inlineStr">
        <is>
          <t>Copy fix.</t>
        </is>
      </c>
      <c r="I154" s="11" t="inlineStr">
        <is>
          <t>Med</t>
        </is>
      </c>
      <c r="J154" s="11" t="inlineStr">
        <is>
          <t>S</t>
        </is>
      </c>
      <c r="K154" s="11" t="inlineStr">
        <is>
          <t>p.66</t>
        </is>
      </c>
    </row>
  </sheetData>
  <autoFilter ref="A1:K154"/>
  <dataValidations count="2">
    <dataValidation sqref="D2:D154" showDropDown="0" showInputMessage="0" showErrorMessage="0" allowBlank="1" type="list">
      <formula1>"Matches,Partial,Deviates,Missing,Not verified,N/A"</formula1>
    </dataValidation>
    <dataValidation sqref="G2:G154" showDropDown="0" showInputMessage="0" showErrorMessage="0" allowBlank="1" type="list">
      <formula1>"Change system,Change paper,System + paper,Move to Limitations,Decision needed,None"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26" customWidth="1" min="3" max="3"/>
    <col width="12" customWidth="1" min="4" max="4"/>
    <col width="20" customWidth="1" min="5" max="5"/>
    <col width="60" customWidth="1" min="6" max="6"/>
  </cols>
  <sheetData>
    <row r="1">
      <c r="A1" s="10" t="inlineStr">
        <is>
          <t>Figure</t>
        </is>
      </c>
      <c r="B1" s="10" t="inlineStr">
        <is>
          <t>Use case</t>
        </is>
      </c>
      <c r="C1" s="10" t="inlineStr">
        <is>
          <t>Actor(s)</t>
        </is>
      </c>
      <c r="D1" s="10" t="inlineStr">
        <is>
          <t>Status</t>
        </is>
      </c>
      <c r="E1" s="10" t="inlineStr">
        <is>
          <t>Maps to</t>
        </is>
      </c>
      <c r="F1" s="10" t="inlineStr">
        <is>
          <t>Notes</t>
        </is>
      </c>
    </row>
    <row r="2">
      <c r="A2" s="11" t="inlineStr">
        <is>
          <t>2.2</t>
        </is>
      </c>
      <c r="B2" s="11" t="inlineStr">
        <is>
          <t>Browse Product Catalog</t>
        </is>
      </c>
      <c r="C2" s="11" t="inlineStr">
        <is>
          <t>Guest, Sales Staff</t>
        </is>
      </c>
      <c r="D2" s="13" t="inlineStr">
        <is>
          <t>Matches</t>
        </is>
      </c>
      <c r="E2" s="11" t="inlineStr">
        <is>
          <t>REQ009</t>
        </is>
      </c>
      <c r="F2" s="11" t="inlineStr">
        <is>
          <t>Sales Staff can browse the admin Products page.</t>
        </is>
      </c>
    </row>
    <row r="3">
      <c r="A3" s="11" t="inlineStr">
        <is>
          <t>2.2</t>
        </is>
      </c>
      <c r="B3" s="11" t="inlineStr">
        <is>
          <t>View Product Details</t>
        </is>
      </c>
      <c r="C3" s="11" t="inlineStr">
        <is>
          <t>Guest</t>
        </is>
      </c>
      <c r="D3" s="13" t="inlineStr">
        <is>
          <t>Matches</t>
        </is>
      </c>
      <c r="E3" s="11" t="inlineStr">
        <is>
          <t>REQ013</t>
        </is>
      </c>
      <c r="F3" s="11" t="inlineStr">
        <is>
          <t>Dosage notes missing.</t>
        </is>
      </c>
    </row>
    <row r="4">
      <c r="A4" s="11" t="inlineStr">
        <is>
          <t>2.2</t>
        </is>
      </c>
      <c r="B4" s="11" t="inlineStr">
        <is>
          <t>Filter and Search Products</t>
        </is>
      </c>
      <c r="C4" s="11" t="inlineStr">
        <is>
          <t>Guest</t>
        </is>
      </c>
      <c r="D4" s="13" t="inlineStr">
        <is>
          <t>Matches</t>
        </is>
      </c>
      <c r="E4" s="11" t="inlineStr">
        <is>
          <t>REQ010-012</t>
        </is>
      </c>
      <c r="F4" s="11" t="inlineStr">
        <is>
          <t>Header search + price/stock filters.</t>
        </is>
      </c>
    </row>
    <row r="5">
      <c r="A5" s="11" t="inlineStr">
        <is>
          <t>2.2</t>
        </is>
      </c>
      <c r="B5" s="11" t="inlineStr">
        <is>
          <t>Register Account</t>
        </is>
      </c>
      <c r="C5" s="11" t="inlineStr">
        <is>
          <t>Guest</t>
        </is>
      </c>
      <c r="D5" s="13" t="inlineStr">
        <is>
          <t>Matches</t>
        </is>
      </c>
      <c r="E5" s="11" t="inlineStr">
        <is>
          <t>REQ001-006</t>
        </is>
      </c>
      <c r="F5" s="11" t="inlineStr"/>
    </row>
    <row r="6">
      <c r="A6" s="11" t="inlineStr">
        <is>
          <t>2.2</t>
        </is>
      </c>
      <c r="B6" s="11" t="inlineStr">
        <is>
          <t>Access Live Chat</t>
        </is>
      </c>
      <c r="C6" s="11" t="inlineStr">
        <is>
          <t>Guest</t>
        </is>
      </c>
      <c r="D6" s="13" t="inlineStr">
        <is>
          <t>Matches</t>
        </is>
      </c>
      <c r="E6" s="11" t="inlineStr">
        <is>
          <t>REQ035-037</t>
        </is>
      </c>
      <c r="F6" s="11" t="inlineStr">
        <is>
          <t>80b3988</t>
        </is>
      </c>
    </row>
    <row r="7">
      <c r="A7" s="11" t="inlineStr">
        <is>
          <t>2.2</t>
        </is>
      </c>
      <c r="B7" s="11" t="inlineStr">
        <is>
          <t>Manage Live Chat</t>
        </is>
      </c>
      <c r="C7" s="11" t="inlineStr">
        <is>
          <t>(no actor connected)</t>
        </is>
      </c>
      <c r="D7" s="13" t="inlineStr">
        <is>
          <t>Matches</t>
        </is>
      </c>
      <c r="E7" s="11" t="inlineStr">
        <is>
          <t>REQ108-110</t>
        </is>
      </c>
      <c r="F7" s="11" t="inlineStr">
        <is>
          <t>80b3988: built; Fig 2.2 still needs the actor line (paper edit).</t>
        </is>
      </c>
    </row>
    <row r="8">
      <c r="A8" s="11" t="inlineStr">
        <is>
          <t>2.2</t>
        </is>
      </c>
      <c r="B8" s="11" t="inlineStr">
        <is>
          <t>Process Walk-in Purchase</t>
        </is>
      </c>
      <c r="C8" s="11" t="inlineStr">
        <is>
          <t>Sales Staff, Technical Staff</t>
        </is>
      </c>
      <c r="D8" s="13" t="inlineStr">
        <is>
          <t>Matches</t>
        </is>
      </c>
      <c r="E8" s="11" t="inlineStr">
        <is>
          <t>REQ082</t>
        </is>
      </c>
      <c r="F8" s="11" t="inlineStr"/>
    </row>
    <row r="9">
      <c r="A9" s="11" t="inlineStr">
        <is>
          <t>2.2</t>
        </is>
      </c>
      <c r="B9" s="11" t="inlineStr">
        <is>
          <t>Login to Account</t>
        </is>
      </c>
      <c r="C9" s="11" t="inlineStr">
        <is>
          <t>Sales, Technical, Registered User</t>
        </is>
      </c>
      <c r="D9" s="14" t="inlineStr">
        <is>
          <t>Partial</t>
        </is>
      </c>
      <c r="E9" s="11" t="inlineStr">
        <is>
          <t>REQ004-005, 043-045</t>
        </is>
      </c>
      <c r="F9" s="11" t="inlineStr">
        <is>
          <t>No unrecognized-device OTP.</t>
        </is>
      </c>
    </row>
    <row r="10">
      <c r="A10" s="11" t="inlineStr">
        <is>
          <t>2.2</t>
        </is>
      </c>
      <c r="B10" s="11" t="inlineStr">
        <is>
          <t>Update Account Settings</t>
        </is>
      </c>
      <c r="C10" s="11" t="inlineStr">
        <is>
          <t>Sales, Technical, Registered User</t>
        </is>
      </c>
      <c r="D10" s="13" t="inlineStr">
        <is>
          <t>Matches</t>
        </is>
      </c>
      <c r="E10" s="11" t="inlineStr">
        <is>
          <t>REQ040-041</t>
        </is>
      </c>
      <c r="F10" s="11" t="inlineStr">
        <is>
          <t>No profile picture or email toggle.</t>
        </is>
      </c>
    </row>
    <row r="11">
      <c r="A11" s="11" t="inlineStr">
        <is>
          <t>2.2</t>
        </is>
      </c>
      <c r="B11" s="11" t="inlineStr">
        <is>
          <t>Manage Inventory</t>
        </is>
      </c>
      <c r="C11" s="11" t="inlineStr">
        <is>
          <t>Technical Staff</t>
        </is>
      </c>
      <c r="D11" s="13" t="inlineStr">
        <is>
          <t>Matches</t>
        </is>
      </c>
      <c r="E11" s="11" t="inlineStr">
        <is>
          <t>REQ049-052</t>
        </is>
      </c>
      <c r="F11" s="11" t="inlineStr"/>
    </row>
    <row r="12">
      <c r="A12" s="11" t="inlineStr">
        <is>
          <t>2.2</t>
        </is>
      </c>
      <c r="B12" s="11" t="inlineStr">
        <is>
          <t>Manage Online Order Queue</t>
        </is>
      </c>
      <c r="C12" s="11" t="inlineStr">
        <is>
          <t>Technical Staff</t>
        </is>
      </c>
      <c r="D12" s="13" t="inlineStr">
        <is>
          <t>Matches</t>
        </is>
      </c>
      <c r="E12" s="11" t="inlineStr">
        <is>
          <t>REQ074-076</t>
        </is>
      </c>
      <c r="F12" s="11" t="inlineStr"/>
    </row>
    <row r="13">
      <c r="A13" s="11" t="inlineStr">
        <is>
          <t>2.2</t>
        </is>
      </c>
      <c r="B13" s="11" t="inlineStr">
        <is>
          <t>Manage Product Catalog</t>
        </is>
      </c>
      <c r="C13" s="11" t="inlineStr">
        <is>
          <t>Technical Staff</t>
        </is>
      </c>
      <c r="D13" s="13" t="inlineStr">
        <is>
          <t>Matches</t>
        </is>
      </c>
      <c r="E13" s="11" t="inlineStr">
        <is>
          <t>REQ068-070</t>
        </is>
      </c>
      <c r="F13" s="11" t="inlineStr"/>
    </row>
    <row r="14">
      <c r="A14" s="11" t="inlineStr">
        <is>
          <t>2.2</t>
        </is>
      </c>
      <c r="B14" s="11" t="inlineStr">
        <is>
          <t>Manage Wholesale Accounts</t>
        </is>
      </c>
      <c r="C14" s="11" t="inlineStr">
        <is>
          <t>Technical Staff</t>
        </is>
      </c>
      <c r="D14" s="13" t="inlineStr">
        <is>
          <t>Matches</t>
        </is>
      </c>
      <c r="E14" s="11" t="inlineStr">
        <is>
          <t>REQ085-086</t>
        </is>
      </c>
      <c r="F14" s="11" t="inlineStr"/>
    </row>
    <row r="15">
      <c r="A15" s="11" t="inlineStr">
        <is>
          <t>2.2</t>
        </is>
      </c>
      <c r="B15" s="11" t="inlineStr">
        <is>
          <t>Process Wholesale Purchase</t>
        </is>
      </c>
      <c r="C15" s="11" t="inlineStr">
        <is>
          <t>Technical Staff</t>
        </is>
      </c>
      <c r="D15" s="13" t="inlineStr">
        <is>
          <t>Matches</t>
        </is>
      </c>
      <c r="E15" s="11" t="inlineStr">
        <is>
          <t>REQ087</t>
        </is>
      </c>
      <c r="F15" s="11" t="inlineStr"/>
    </row>
    <row r="16">
      <c r="A16" s="11" t="inlineStr">
        <is>
          <t>2.2</t>
        </is>
      </c>
      <c r="B16" s="11" t="inlineStr">
        <is>
          <t>Generate Reports</t>
        </is>
      </c>
      <c r="C16" s="11" t="inlineStr">
        <is>
          <t>Technical Staff</t>
        </is>
      </c>
      <c r="D16" s="13" t="inlineStr">
        <is>
          <t>Matches</t>
        </is>
      </c>
      <c r="E16" s="11" t="inlineStr">
        <is>
          <t>REQ111-115</t>
        </is>
      </c>
      <c r="F16" s="11" t="inlineStr">
        <is>
          <t>bf16804: Reports page.</t>
        </is>
      </c>
    </row>
    <row r="17">
      <c r="A17" s="11" t="inlineStr">
        <is>
          <t>2.2</t>
        </is>
      </c>
      <c r="B17" s="11" t="inlineStr">
        <is>
          <t>Receive Supplier Delivery</t>
        </is>
      </c>
      <c r="C17" s="11" t="inlineStr">
        <is>
          <t>Technical Staff</t>
        </is>
      </c>
      <c r="D17" s="13" t="inlineStr">
        <is>
          <t>Matches</t>
        </is>
      </c>
      <c r="E17" s="11" t="inlineStr">
        <is>
          <t>REQ062-063</t>
        </is>
      </c>
      <c r="F17" s="11" t="inlineStr"/>
    </row>
    <row r="18">
      <c r="A18" s="11" t="inlineStr">
        <is>
          <t>2.2</t>
        </is>
      </c>
      <c r="B18" s="11" t="inlineStr">
        <is>
          <t>Month-End Stock Reconciliation</t>
        </is>
      </c>
      <c r="C18" s="11" t="inlineStr">
        <is>
          <t>Technical Staff</t>
        </is>
      </c>
      <c r="D18" s="13" t="inlineStr">
        <is>
          <t>Matches</t>
        </is>
      </c>
      <c r="E18" s="11" t="inlineStr">
        <is>
          <t>REQ059-061</t>
        </is>
      </c>
      <c r="F18" s="11" t="inlineStr">
        <is>
          <t>06574da: BM finalizes; variance reason logged.</t>
        </is>
      </c>
    </row>
    <row r="19">
      <c r="A19" s="11" t="inlineStr">
        <is>
          <t>2.2</t>
        </is>
      </c>
      <c r="B19" s="11" t="inlineStr">
        <is>
          <t>View Audit Log</t>
        </is>
      </c>
      <c r="C19" s="11" t="inlineStr">
        <is>
          <t>Technical Staff</t>
        </is>
      </c>
      <c r="D19" s="13" t="inlineStr">
        <is>
          <t>Matches</t>
        </is>
      </c>
      <c r="E19" s="11" t="inlineStr">
        <is>
          <t>REQ123</t>
        </is>
      </c>
      <c r="F19" s="11" t="inlineStr">
        <is>
          <t>Overall diagram text implies BM-only - see C6.</t>
        </is>
      </c>
    </row>
    <row r="20">
      <c r="A20" s="11" t="inlineStr">
        <is>
          <t>2.2</t>
        </is>
      </c>
      <c r="B20" s="11" t="inlineStr">
        <is>
          <t>Update Product Price</t>
        </is>
      </c>
      <c r="C20" s="11" t="inlineStr">
        <is>
          <t>Branch Manager</t>
        </is>
      </c>
      <c r="D20" s="13" t="inlineStr">
        <is>
          <t>Matches</t>
        </is>
      </c>
      <c r="E20" s="11" t="inlineStr">
        <is>
          <t>REQ071-073</t>
        </is>
      </c>
      <c r="F20" s="11" t="inlineStr">
        <is>
          <t>BM-only prices everywhere (publish rules).</t>
        </is>
      </c>
    </row>
    <row r="21">
      <c r="A21" s="11" t="inlineStr">
        <is>
          <t>2.2</t>
        </is>
      </c>
      <c r="B21" s="11" t="inlineStr">
        <is>
          <t>Create Staff Account</t>
        </is>
      </c>
      <c r="C21" s="11" t="inlineStr">
        <is>
          <t>Branch Manager</t>
        </is>
      </c>
      <c r="D21" s="13" t="inlineStr">
        <is>
          <t>Matches</t>
        </is>
      </c>
      <c r="E21" s="11" t="inlineStr">
        <is>
          <t>REQ118</t>
        </is>
      </c>
      <c r="F21" s="11" t="inlineStr"/>
    </row>
    <row r="22">
      <c r="A22" s="11" t="inlineStr">
        <is>
          <t>2.2</t>
        </is>
      </c>
      <c r="B22" s="11" t="inlineStr">
        <is>
          <t>Manage Staff Accounts</t>
        </is>
      </c>
      <c r="C22" s="11" t="inlineStr">
        <is>
          <t>Branch Manager</t>
        </is>
      </c>
      <c r="D22" s="13" t="inlineStr">
        <is>
          <t>Matches</t>
        </is>
      </c>
      <c r="E22" s="11" t="inlineStr">
        <is>
          <t>REQ118-119</t>
        </is>
      </c>
      <c r="F22" s="11" t="inlineStr"/>
    </row>
    <row r="23">
      <c r="A23" s="11" t="inlineStr">
        <is>
          <t>2.2</t>
        </is>
      </c>
      <c r="B23" s="11" t="inlineStr">
        <is>
          <t>View Order History</t>
        </is>
      </c>
      <c r="C23" s="11" t="inlineStr">
        <is>
          <t>Registered User</t>
        </is>
      </c>
      <c r="D23" s="13" t="inlineStr">
        <is>
          <t>Matches</t>
        </is>
      </c>
      <c r="E23" s="11" t="inlineStr">
        <is>
          <t>REQ031-032</t>
        </is>
      </c>
      <c r="F23" s="11" t="inlineStr"/>
    </row>
    <row r="24">
      <c r="A24" s="11" t="inlineStr">
        <is>
          <t>2.2</t>
        </is>
      </c>
      <c r="B24" s="11" t="inlineStr">
        <is>
          <t>Manage Cart</t>
        </is>
      </c>
      <c r="C24" s="11" t="inlineStr">
        <is>
          <t>Registered User</t>
        </is>
      </c>
      <c r="D24" s="13" t="inlineStr">
        <is>
          <t>Matches</t>
        </is>
      </c>
      <c r="E24" s="11" t="inlineStr">
        <is>
          <t>REQ014-016</t>
        </is>
      </c>
      <c r="F24" s="11" t="inlineStr">
        <is>
          <t>77336f3: cart saved on the account.</t>
        </is>
      </c>
    </row>
    <row r="25">
      <c r="A25" s="11" t="inlineStr">
        <is>
          <t>2.2</t>
        </is>
      </c>
      <c r="B25" s="11" t="inlineStr">
        <is>
          <t>Proceed to Checkout</t>
        </is>
      </c>
      <c r="C25" s="11" t="inlineStr">
        <is>
          <t>Registered User</t>
        </is>
      </c>
      <c r="D25" s="13" t="inlineStr">
        <is>
          <t>Matches</t>
        </is>
      </c>
      <c r="E25" s="11" t="inlineStr">
        <is>
          <t>REQ017-020</t>
        </is>
      </c>
      <c r="F25" s="11" t="inlineStr"/>
    </row>
    <row r="26">
      <c r="A26" s="11" t="inlineStr">
        <is>
          <t>2.2</t>
        </is>
      </c>
      <c r="B26" s="11" t="inlineStr">
        <is>
          <t>Process Prescription Pre Order</t>
        </is>
      </c>
      <c r="C26" s="11" t="inlineStr">
        <is>
          <t>Registered User</t>
        </is>
      </c>
      <c r="D26" s="14" t="inlineStr">
        <is>
          <t>Partial</t>
        </is>
      </c>
      <c r="E26" s="11" t="inlineStr">
        <is>
          <t>REQ021-027</t>
        </is>
      </c>
      <c r="F26" s="11" t="inlineStr">
        <is>
          <t>082ec92: approve/reject built. Name still differs from Fig 2.4 ('Submit Prescription Pre-Order') - paper edit.</t>
        </is>
      </c>
    </row>
    <row r="27">
      <c r="A27" s="11" t="inlineStr">
        <is>
          <t>2.3</t>
        </is>
      </c>
      <c r="B27" s="11" t="inlineStr">
        <is>
          <t>Access Live Chat</t>
        </is>
      </c>
      <c r="C27" s="11" t="inlineStr">
        <is>
          <t>Guest</t>
        </is>
      </c>
      <c r="D27" s="13" t="inlineStr">
        <is>
          <t>Matches</t>
        </is>
      </c>
      <c r="E27" s="11" t="inlineStr">
        <is>
          <t>REQ035</t>
        </is>
      </c>
      <c r="F27" s="11" t="inlineStr">
        <is>
          <t>80b3988</t>
        </is>
      </c>
    </row>
    <row r="28">
      <c r="A28" s="11" t="inlineStr">
        <is>
          <t>2.3</t>
        </is>
      </c>
      <c r="B28" s="11" t="inlineStr">
        <is>
          <t>Browse Product Catalog</t>
        </is>
      </c>
      <c r="C28" s="11" t="inlineStr">
        <is>
          <t>Guest</t>
        </is>
      </c>
      <c r="D28" s="13" t="inlineStr">
        <is>
          <t>Matches</t>
        </is>
      </c>
      <c r="E28" s="11" t="inlineStr">
        <is>
          <t>REQ009</t>
        </is>
      </c>
      <c r="F28" s="11" t="inlineStr"/>
    </row>
    <row r="29">
      <c r="A29" s="11" t="inlineStr">
        <is>
          <t>2.3</t>
        </is>
      </c>
      <c r="B29" s="11" t="inlineStr">
        <is>
          <t>View Product Details</t>
        </is>
      </c>
      <c r="C29" s="11" t="inlineStr">
        <is>
          <t>Guest</t>
        </is>
      </c>
      <c r="D29" s="13" t="inlineStr">
        <is>
          <t>Matches</t>
        </is>
      </c>
      <c r="E29" s="11" t="inlineStr">
        <is>
          <t>REQ013</t>
        </is>
      </c>
      <c r="F29" s="11" t="inlineStr"/>
    </row>
    <row r="30">
      <c r="A30" s="11" t="inlineStr">
        <is>
          <t>2.3</t>
        </is>
      </c>
      <c r="B30" s="11" t="inlineStr">
        <is>
          <t>Filter and Search Products</t>
        </is>
      </c>
      <c r="C30" s="11" t="inlineStr">
        <is>
          <t>Guest</t>
        </is>
      </c>
      <c r="D30" s="13" t="inlineStr">
        <is>
          <t>Matches</t>
        </is>
      </c>
      <c r="E30" s="11" t="inlineStr">
        <is>
          <t>REQ010-011</t>
        </is>
      </c>
      <c r="F30" s="11" t="inlineStr">
        <is>
          <t>Header search + price/stock filters.</t>
        </is>
      </c>
    </row>
    <row r="31">
      <c r="A31" s="11" t="inlineStr">
        <is>
          <t>2.3</t>
        </is>
      </c>
      <c r="B31" s="11" t="inlineStr">
        <is>
          <t>Register Account &lt;&lt;include&gt;&gt; Verify Email</t>
        </is>
      </c>
      <c r="C31" s="11" t="inlineStr">
        <is>
          <t>Guest</t>
        </is>
      </c>
      <c r="D31" s="13" t="inlineStr">
        <is>
          <t>Matches</t>
        </is>
      </c>
      <c r="E31" s="11" t="inlineStr">
        <is>
          <t>REQ001-002</t>
        </is>
      </c>
      <c r="F31" s="11" t="inlineStr"/>
    </row>
    <row r="32">
      <c r="A32" s="11" t="inlineStr">
        <is>
          <t>2.3</t>
        </is>
      </c>
      <c r="B32" s="11" t="inlineStr">
        <is>
          <t>Login to Account &lt;&lt;extend&gt;&gt; Verify OTP</t>
        </is>
      </c>
      <c r="C32" s="11" t="inlineStr">
        <is>
          <t>Staff, Registered User</t>
        </is>
      </c>
      <c r="D32" s="15" t="inlineStr">
        <is>
          <t>Missing</t>
        </is>
      </c>
      <c r="E32" s="11" t="inlineStr">
        <is>
          <t>REQ005, REQ044</t>
        </is>
      </c>
      <c r="F32" s="11" t="inlineStr">
        <is>
          <t>Verify OTP not built.</t>
        </is>
      </c>
    </row>
    <row r="33">
      <c r="A33" s="11" t="inlineStr">
        <is>
          <t>2.3</t>
        </is>
      </c>
      <c r="B33" s="11" t="inlineStr">
        <is>
          <t>Login to Account &lt;&lt;extend&gt;&gt; Recover Password</t>
        </is>
      </c>
      <c r="C33" s="11" t="inlineStr">
        <is>
          <t>Staff, Registered User</t>
        </is>
      </c>
      <c r="D33" s="13" t="inlineStr">
        <is>
          <t>Matches</t>
        </is>
      </c>
      <c r="E33" s="11" t="inlineStr">
        <is>
          <t>REQ007, REQ046</t>
        </is>
      </c>
      <c r="F33" s="11" t="inlineStr"/>
    </row>
    <row r="34">
      <c r="A34" s="11" t="inlineStr">
        <is>
          <t>2.3</t>
        </is>
      </c>
      <c r="B34" s="11" t="inlineStr">
        <is>
          <t>Update Account Settings</t>
        </is>
      </c>
      <c r="C34" s="11" t="inlineStr">
        <is>
          <t>Staff, Registered User</t>
        </is>
      </c>
      <c r="D34" s="13" t="inlineStr">
        <is>
          <t>Matches</t>
        </is>
      </c>
      <c r="E34" s="11" t="inlineStr">
        <is>
          <t>REQ040-042</t>
        </is>
      </c>
      <c r="F34" s="11" t="inlineStr"/>
    </row>
    <row r="35">
      <c r="A35" s="11" t="inlineStr">
        <is>
          <t>2.4</t>
        </is>
      </c>
      <c r="B35" s="11" t="inlineStr">
        <is>
          <t>Submit Prescription Pre-Order</t>
        </is>
      </c>
      <c r="C35" s="11" t="inlineStr">
        <is>
          <t>Registered User</t>
        </is>
      </c>
      <c r="D35" s="13" t="inlineStr">
        <is>
          <t>Matches</t>
        </is>
      </c>
      <c r="E35" s="11" t="inlineStr">
        <is>
          <t>REQ021-027</t>
        </is>
      </c>
      <c r="F35" s="11" t="inlineStr">
        <is>
          <t>082ec92: separate prescription approval/rejection with reason.</t>
        </is>
      </c>
    </row>
    <row r="36">
      <c r="A36" s="11" t="inlineStr">
        <is>
          <t>2.4</t>
        </is>
      </c>
      <c r="B36" s="11" t="inlineStr">
        <is>
          <t>Add Item to Cart</t>
        </is>
      </c>
      <c r="C36" s="11" t="inlineStr">
        <is>
          <t>Registered User</t>
        </is>
      </c>
      <c r="D36" s="13" t="inlineStr">
        <is>
          <t>Matches</t>
        </is>
      </c>
      <c r="E36" s="11" t="inlineStr">
        <is>
          <t>REQ014</t>
        </is>
      </c>
      <c r="F36" s="11" t="inlineStr"/>
    </row>
    <row r="37">
      <c r="A37" s="11" t="inlineStr">
        <is>
          <t>2.4</t>
        </is>
      </c>
      <c r="B37" s="11" t="inlineStr">
        <is>
          <t>View Order History</t>
        </is>
      </c>
      <c r="C37" s="11" t="inlineStr">
        <is>
          <t>Registered User</t>
        </is>
      </c>
      <c r="D37" s="13" t="inlineStr">
        <is>
          <t>Matches</t>
        </is>
      </c>
      <c r="E37" s="11" t="inlineStr">
        <is>
          <t>REQ031</t>
        </is>
      </c>
      <c r="F37" s="11" t="inlineStr"/>
    </row>
    <row r="38">
      <c r="A38" s="11" t="inlineStr">
        <is>
          <t>2.4</t>
        </is>
      </c>
      <c r="B38" s="11" t="inlineStr">
        <is>
          <t>&lt;&lt;extend&gt;&gt; Download Order Receipt</t>
        </is>
      </c>
      <c r="C38" s="11" t="inlineStr">
        <is>
          <t>Registered User</t>
        </is>
      </c>
      <c r="D38" s="13" t="inlineStr">
        <is>
          <t>Matches</t>
        </is>
      </c>
      <c r="E38" s="11" t="inlineStr">
        <is>
          <t>REQ033</t>
        </is>
      </c>
      <c r="F38" s="11" t="inlineStr"/>
    </row>
    <row r="39">
      <c r="A39" s="11" t="inlineStr">
        <is>
          <t>2.4</t>
        </is>
      </c>
      <c r="B39" s="11" t="inlineStr">
        <is>
          <t>&lt;&lt;extend&gt;&gt; Track Order Status</t>
        </is>
      </c>
      <c r="C39" s="11" t="inlineStr">
        <is>
          <t>Registered User</t>
        </is>
      </c>
      <c r="D39" s="13" t="inlineStr">
        <is>
          <t>Matches</t>
        </is>
      </c>
      <c r="E39" s="11" t="inlineStr">
        <is>
          <t>REQ034</t>
        </is>
      </c>
      <c r="F39" s="11" t="inlineStr">
        <is>
          <t>Tracking link shown once dispatched.</t>
        </is>
      </c>
    </row>
    <row r="40">
      <c r="A40" s="11" t="inlineStr">
        <is>
          <t>2.4</t>
        </is>
      </c>
      <c r="B40" s="11" t="inlineStr">
        <is>
          <t>&lt;&lt;extend&gt;&gt; Confirm Order Receipt</t>
        </is>
      </c>
      <c r="C40" s="11" t="inlineStr">
        <is>
          <t>Registered User</t>
        </is>
      </c>
      <c r="D40" s="13" t="inlineStr">
        <is>
          <t>Matches</t>
        </is>
      </c>
      <c r="E40" s="11" t="inlineStr">
        <is>
          <t>REQ105</t>
        </is>
      </c>
      <c r="F40" s="11" t="inlineStr">
        <is>
          <t>Sets 'Received' - see C1.</t>
        </is>
      </c>
    </row>
    <row r="41">
      <c r="A41" s="11" t="inlineStr">
        <is>
          <t>2.4</t>
        </is>
      </c>
      <c r="B41" s="11" t="inlineStr">
        <is>
          <t>Manage Cart</t>
        </is>
      </c>
      <c r="C41" s="11" t="inlineStr">
        <is>
          <t>Registered User</t>
        </is>
      </c>
      <c r="D41" s="13" t="inlineStr">
        <is>
          <t>Matches</t>
        </is>
      </c>
      <c r="E41" s="11" t="inlineStr">
        <is>
          <t>REQ015-016</t>
        </is>
      </c>
      <c r="F41" s="11" t="inlineStr"/>
    </row>
    <row r="42">
      <c r="A42" s="11" t="inlineStr">
        <is>
          <t>2.4</t>
        </is>
      </c>
      <c r="B42" s="11" t="inlineStr">
        <is>
          <t>Proceed to Checkout &lt;&lt;include&gt;&gt; Upload Payment Proof &lt;&lt;include&gt;&gt; Place Order</t>
        </is>
      </c>
      <c r="C42" s="11" t="inlineStr">
        <is>
          <t>Registered User</t>
        </is>
      </c>
      <c r="D42" s="13" t="inlineStr">
        <is>
          <t>Matches</t>
        </is>
      </c>
      <c r="E42" s="11" t="inlineStr">
        <is>
          <t>REQ017-030</t>
        </is>
      </c>
      <c r="F42" s="11" t="inlineStr">
        <is>
          <t>Paper: include chain direction is unusual (Upload Payment Proof including Place Order).</t>
        </is>
      </c>
    </row>
    <row r="43">
      <c r="A43" s="11" t="inlineStr">
        <is>
          <t>2.5</t>
        </is>
      </c>
      <c r="B43" s="11" t="inlineStr">
        <is>
          <t>Manage Inventory</t>
        </is>
      </c>
      <c r="C43" s="11" t="inlineStr">
        <is>
          <t>Technical Staff (+BM)</t>
        </is>
      </c>
      <c r="D43" s="13" t="inlineStr">
        <is>
          <t>Matches</t>
        </is>
      </c>
      <c r="E43" s="11" t="inlineStr">
        <is>
          <t>REQ049</t>
        </is>
      </c>
      <c r="F43" s="11" t="inlineStr"/>
    </row>
    <row r="44">
      <c r="A44" s="11" t="inlineStr">
        <is>
          <t>2.5</t>
        </is>
      </c>
      <c r="B44" s="11" t="inlineStr">
        <is>
          <t>&lt;&lt;extend&gt;&gt; Monitor FEFO Expiration Alerts</t>
        </is>
      </c>
      <c r="C44" s="11" t="inlineStr">
        <is>
          <t>Technical Staff (+BM)</t>
        </is>
      </c>
      <c r="D44" s="13" t="inlineStr">
        <is>
          <t>Matches</t>
        </is>
      </c>
      <c r="E44" s="11" t="inlineStr">
        <is>
          <t>REQ065-067</t>
        </is>
      </c>
      <c r="F44" s="11" t="inlineStr">
        <is>
          <t>6-month Wholesale Only + 2-month Bad Order (d2a957b).</t>
        </is>
      </c>
    </row>
    <row r="45">
      <c r="A45" s="11" t="inlineStr">
        <is>
          <t>2.5</t>
        </is>
      </c>
      <c r="B45" s="11" t="inlineStr">
        <is>
          <t>&lt;&lt;extend&gt;&gt; Write Off Unsellable Stock &lt;&lt;include&gt;&gt; Record Reason</t>
        </is>
      </c>
      <c r="C45" s="11" t="inlineStr">
        <is>
          <t>Technical Staff (+BM)</t>
        </is>
      </c>
      <c r="D45" s="13" t="inlineStr">
        <is>
          <t>Matches</t>
        </is>
      </c>
      <c r="E45" s="11" t="inlineStr">
        <is>
          <t>REQ051-052</t>
        </is>
      </c>
      <c r="F45" s="11" t="inlineStr"/>
    </row>
    <row r="46">
      <c r="A46" s="11" t="inlineStr">
        <is>
          <t>2.5</t>
        </is>
      </c>
      <c r="B46" s="11" t="inlineStr">
        <is>
          <t>Month-End Stock Reconciliation &lt;&lt;include&gt;&gt; Enter Physical Counts</t>
        </is>
      </c>
      <c r="C46" s="11" t="inlineStr">
        <is>
          <t>Technical Staff (+BM)</t>
        </is>
      </c>
      <c r="D46" s="13" t="inlineStr">
        <is>
          <t>Matches</t>
        </is>
      </c>
      <c r="E46" s="11" t="inlineStr">
        <is>
          <t>REQ059-061</t>
        </is>
      </c>
      <c r="F46" s="11" t="inlineStr">
        <is>
          <t>06574da: BM finalizes; variance reason logged.</t>
        </is>
      </c>
    </row>
    <row r="47">
      <c r="A47" s="11" t="inlineStr">
        <is>
          <t>2.5</t>
        </is>
      </c>
      <c r="B47" s="11" t="inlineStr">
        <is>
          <t>Receive Supplier Delivery &lt;&lt;include&gt;&gt; Add Stock Receiving Entry</t>
        </is>
      </c>
      <c r="C47" s="11" t="inlineStr">
        <is>
          <t>Technical Staff (+BM)</t>
        </is>
      </c>
      <c r="D47" s="13" t="inlineStr">
        <is>
          <t>Matches</t>
        </is>
      </c>
      <c r="E47" s="11" t="inlineStr">
        <is>
          <t>REQ062-063</t>
        </is>
      </c>
      <c r="F47" s="11" t="inlineStr"/>
    </row>
    <row r="48">
      <c r="A48" s="11" t="inlineStr">
        <is>
          <t>2.5</t>
        </is>
      </c>
      <c r="B48" s="11" t="inlineStr">
        <is>
          <t>Create Purchase Order</t>
        </is>
      </c>
      <c r="C48" s="11" t="inlineStr">
        <is>
          <t>Technical Staff (+BM)</t>
        </is>
      </c>
      <c r="D48" s="13" t="inlineStr">
        <is>
          <t>Matches</t>
        </is>
      </c>
      <c r="E48" s="11" t="inlineStr">
        <is>
          <t>REQ053</t>
        </is>
      </c>
      <c r="F48" s="11" t="inlineStr">
        <is>
          <t>Paper: missing from overall diagram 2.2.</t>
        </is>
      </c>
    </row>
    <row r="49">
      <c r="A49" s="11" t="inlineStr">
        <is>
          <t>2.6</t>
        </is>
      </c>
      <c r="B49" s="11" t="inlineStr">
        <is>
          <t>Process Walk-in Purchase</t>
        </is>
      </c>
      <c r="C49" s="11" t="inlineStr">
        <is>
          <t>Sales Staff, Technical Staff</t>
        </is>
      </c>
      <c r="D49" s="13" t="inlineStr">
        <is>
          <t>Matches</t>
        </is>
      </c>
      <c r="E49" s="11" t="inlineStr">
        <is>
          <t>REQ082</t>
        </is>
      </c>
      <c r="F49" s="11" t="inlineStr"/>
    </row>
    <row r="50">
      <c r="A50" s="11" t="inlineStr">
        <is>
          <t>2.6</t>
        </is>
      </c>
      <c r="B50" s="11" t="inlineStr">
        <is>
          <t>&lt;&lt;include&gt;&gt; Generate Transaction Record</t>
        </is>
      </c>
      <c r="C50" s="11" t="inlineStr">
        <is>
          <t>Sales/Technical</t>
        </is>
      </c>
      <c r="D50" s="13" t="inlineStr">
        <is>
          <t>Matches</t>
        </is>
      </c>
      <c r="E50" s="11" t="inlineStr">
        <is>
          <t>REQ092</t>
        </is>
      </c>
      <c r="F50" s="11" t="inlineStr">
        <is>
          <t>Retail only; no wholesale invoice.</t>
        </is>
      </c>
    </row>
    <row r="51">
      <c r="A51" s="11" t="inlineStr">
        <is>
          <t>2.6</t>
        </is>
      </c>
      <c r="B51" s="11" t="inlineStr">
        <is>
          <t>&lt;&lt;extend&gt;&gt; Print Transaction Receipt</t>
        </is>
      </c>
      <c r="C51" s="11" t="inlineStr">
        <is>
          <t>Sales/Technical</t>
        </is>
      </c>
      <c r="D51" s="13" t="inlineStr">
        <is>
          <t>Matches</t>
        </is>
      </c>
      <c r="E51" s="11" t="inlineStr">
        <is>
          <t>Modules p.44</t>
        </is>
      </c>
      <c r="F51" s="11" t="inlineStr">
        <is>
          <t>57f4d80: Print button with 58mm receipt layout.</t>
        </is>
      </c>
    </row>
    <row r="52">
      <c r="A52" s="11" t="inlineStr">
        <is>
          <t>2.6</t>
        </is>
      </c>
      <c r="B52" s="11" t="inlineStr">
        <is>
          <t>&lt;&lt;extend&gt;&gt; Void Walk-in Transaction &lt;&lt;include&gt;&gt; Record Reason for Void</t>
        </is>
      </c>
      <c r="C52" s="11" t="inlineStr">
        <is>
          <t>Technical Staff (+BM)</t>
        </is>
      </c>
      <c r="D52" s="13" t="inlineStr">
        <is>
          <t>Matches</t>
        </is>
      </c>
      <c r="E52" s="11" t="inlineStr">
        <is>
          <t>REQ083</t>
        </is>
      </c>
      <c r="F52" s="11" t="inlineStr">
        <is>
          <t>57f4d80: void with required reason.</t>
        </is>
      </c>
    </row>
    <row r="53">
      <c r="A53" s="11" t="inlineStr">
        <is>
          <t>2.6</t>
        </is>
      </c>
      <c r="B53" s="11" t="inlineStr">
        <is>
          <t>Manage Online Order Queue &lt;&lt;extend&gt;&gt; Verify Proof of Payment</t>
        </is>
      </c>
      <c r="C53" s="11" t="inlineStr">
        <is>
          <t>Technical Staff (+BM)</t>
        </is>
      </c>
      <c r="D53" s="13" t="inlineStr">
        <is>
          <t>Matches</t>
        </is>
      </c>
      <c r="E53" s="11" t="inlineStr">
        <is>
          <t>REQ094-095</t>
        </is>
      </c>
      <c r="F53" s="11" t="inlineStr"/>
    </row>
    <row r="54">
      <c r="A54" s="11" t="inlineStr">
        <is>
          <t>2.6</t>
        </is>
      </c>
      <c r="B54" s="11" t="inlineStr">
        <is>
          <t>&lt;&lt;extend&gt;&gt; Place Order on Hold</t>
        </is>
      </c>
      <c r="C54" s="11" t="inlineStr">
        <is>
          <t>Technical Staff (+BM)</t>
        </is>
      </c>
      <c r="D54" s="13" t="inlineStr">
        <is>
          <t>Matches</t>
        </is>
      </c>
      <c r="E54" s="11" t="inlineStr">
        <is>
          <t>REQ096-099</t>
        </is>
      </c>
      <c r="F54" s="11" t="inlineStr"/>
    </row>
    <row r="55">
      <c r="A55" s="11" t="inlineStr">
        <is>
          <t>2.6</t>
        </is>
      </c>
      <c r="B55" s="11" t="inlineStr">
        <is>
          <t>&lt;&lt;extend&gt;&gt; Confirm Online Order &lt;&lt;include&gt;&gt; Generate Transaction Record</t>
        </is>
      </c>
      <c r="C55" s="11" t="inlineStr">
        <is>
          <t>Technical Staff (+BM)</t>
        </is>
      </c>
      <c r="D55" s="13" t="inlineStr">
        <is>
          <t>Matches</t>
        </is>
      </c>
      <c r="E55" s="11" t="inlineStr">
        <is>
          <t>REQ101</t>
        </is>
      </c>
      <c r="F55" s="11" t="inlineStr"/>
    </row>
    <row r="56">
      <c r="A56" s="11" t="inlineStr">
        <is>
          <t>2.6</t>
        </is>
      </c>
      <c r="B56" s="11" t="inlineStr">
        <is>
          <t>Generate Reports &lt;&lt;extend&gt;&gt; Export Reports</t>
        </is>
      </c>
      <c r="C56" s="11" t="inlineStr">
        <is>
          <t>Technical Staff (+BM)</t>
        </is>
      </c>
      <c r="D56" s="13" t="inlineStr">
        <is>
          <t>Matches</t>
        </is>
      </c>
      <c r="E56" s="11" t="inlineStr">
        <is>
          <t>REQ111-115</t>
        </is>
      </c>
      <c r="F56" s="11" t="inlineStr">
        <is>
          <t>bf16804: Reports page in the client's formats.</t>
        </is>
      </c>
    </row>
    <row r="57">
      <c r="A57" s="11" t="inlineStr">
        <is>
          <t>2.6</t>
        </is>
      </c>
      <c r="B57" s="11" t="inlineStr">
        <is>
          <t>Process Wholesale Purchase &lt;&lt;include&gt;&gt; Record Wholesale Purchase Order</t>
        </is>
      </c>
      <c r="C57" s="11" t="inlineStr">
        <is>
          <t>Technical Staff (+BM)</t>
        </is>
      </c>
      <c r="D57" s="13" t="inlineStr">
        <is>
          <t>Matches</t>
        </is>
      </c>
      <c r="E57" s="11" t="inlineStr">
        <is>
          <t>REQ087</t>
        </is>
      </c>
      <c r="F57" s="11" t="inlineStr">
        <is>
          <t>No wholesale sales invoice.</t>
        </is>
      </c>
    </row>
    <row r="58">
      <c r="A58" s="11" t="inlineStr">
        <is>
          <t>2.6</t>
        </is>
      </c>
      <c r="B58" s="11" t="inlineStr">
        <is>
          <t>(no bubble) Verify Prescription</t>
        </is>
      </c>
      <c r="C58" s="11" t="inlineStr">
        <is>
          <t>-</t>
        </is>
      </c>
      <c r="D58" s="18" t="inlineStr">
        <is>
          <t>N/A</t>
        </is>
      </c>
      <c r="E58" s="11" t="inlineStr">
        <is>
          <t>REQ077-081</t>
        </is>
      </c>
      <c r="F58" s="11" t="inlineStr">
        <is>
          <t>Paper: RX verification has requirements but no use case in Fig 2.2 or 2.6.</t>
        </is>
      </c>
    </row>
    <row r="59">
      <c r="A59" s="11" t="inlineStr">
        <is>
          <t>2.6</t>
        </is>
      </c>
      <c r="B59" s="11" t="inlineStr">
        <is>
          <t>(no bubble) Free-of-Cost Distribution</t>
        </is>
      </c>
      <c r="C59" s="11" t="inlineStr">
        <is>
          <t>-</t>
        </is>
      </c>
      <c r="D59" s="18" t="inlineStr">
        <is>
          <t>N/A</t>
        </is>
      </c>
      <c r="E59" s="11" t="inlineStr">
        <is>
          <t>REQ091</t>
        </is>
      </c>
      <c r="F59" s="11" t="inlineStr">
        <is>
          <t>Paper: no use case in any figure (wholesale exchange is in Fig 2.7).</t>
        </is>
      </c>
    </row>
    <row r="60">
      <c r="A60" s="11" t="inlineStr">
        <is>
          <t>2.7</t>
        </is>
      </c>
      <c r="B60" s="11" t="inlineStr">
        <is>
          <t>Manage Live Chat</t>
        </is>
      </c>
      <c r="C60" s="11" t="inlineStr">
        <is>
          <t>Technical Staff (+BM)</t>
        </is>
      </c>
      <c r="D60" s="13" t="inlineStr">
        <is>
          <t>Matches</t>
        </is>
      </c>
      <c r="E60" s="11" t="inlineStr">
        <is>
          <t>REQ108-110</t>
        </is>
      </c>
      <c r="F60" s="11" t="inlineStr">
        <is>
          <t>80b3988</t>
        </is>
      </c>
    </row>
    <row r="61">
      <c r="A61" s="11" t="inlineStr">
        <is>
          <t>2.7</t>
        </is>
      </c>
      <c r="B61" s="11" t="inlineStr">
        <is>
          <t>Manage Product Catalog</t>
        </is>
      </c>
      <c r="C61" s="11" t="inlineStr">
        <is>
          <t>Technical Staff (+BM)</t>
        </is>
      </c>
      <c r="D61" s="13" t="inlineStr">
        <is>
          <t>Matches</t>
        </is>
      </c>
      <c r="E61" s="11" t="inlineStr">
        <is>
          <t>REQ068-070</t>
        </is>
      </c>
      <c r="F61" s="11" t="inlineStr">
        <is>
          <t>Dosage notes missing; category rename uses native prompt.</t>
        </is>
      </c>
    </row>
    <row r="62">
      <c r="A62" s="11" t="inlineStr">
        <is>
          <t>2.7</t>
        </is>
      </c>
      <c r="B62" s="11" t="inlineStr">
        <is>
          <t>Manage Supplier Accounts</t>
        </is>
      </c>
      <c r="C62" s="11" t="inlineStr">
        <is>
          <t>Technical Staff (+BM)</t>
        </is>
      </c>
      <c r="D62" s="13" t="inlineStr">
        <is>
          <t>Matches</t>
        </is>
      </c>
      <c r="E62" s="11" t="inlineStr">
        <is>
          <t>REQ069</t>
        </is>
      </c>
      <c r="F62" s="11" t="inlineStr"/>
    </row>
    <row r="63">
      <c r="A63" s="11" t="inlineStr">
        <is>
          <t>2.7</t>
        </is>
      </c>
      <c r="B63" s="11" t="inlineStr">
        <is>
          <t>Manage Wholesale Accounts</t>
        </is>
      </c>
      <c r="C63" s="11" t="inlineStr">
        <is>
          <t>Technical Staff (+BM)</t>
        </is>
      </c>
      <c r="D63" s="13" t="inlineStr">
        <is>
          <t>Matches</t>
        </is>
      </c>
      <c r="E63" s="11" t="inlineStr">
        <is>
          <t>REQ085-086</t>
        </is>
      </c>
      <c r="F63" s="11" t="inlineStr">
        <is>
          <t>No document expiry tracking.</t>
        </is>
      </c>
    </row>
    <row r="64">
      <c r="A64" s="11" t="inlineStr">
        <is>
          <t>2.7</t>
        </is>
      </c>
      <c r="B64" s="11" t="inlineStr">
        <is>
          <t>&lt;&lt;extend&gt;&gt; Process Wholesale Exchange Request</t>
        </is>
      </c>
      <c r="C64" s="11" t="inlineStr">
        <is>
          <t>Technical Staff (+BM)</t>
        </is>
      </c>
      <c r="D64" s="13" t="inlineStr">
        <is>
          <t>Matches</t>
        </is>
      </c>
      <c r="E64" s="11" t="inlineStr">
        <is>
          <t>REQ090</t>
        </is>
      </c>
      <c r="F64" s="11" t="inlineStr">
        <is>
          <t>Purchase History -&gt; Exchange.</t>
        </is>
      </c>
    </row>
    <row r="65">
      <c r="A65" s="11" t="inlineStr">
        <is>
          <t>2.7</t>
        </is>
      </c>
      <c r="B65" s="11" t="inlineStr">
        <is>
          <t>&lt;&lt;include&gt;&gt; Adjust Inventory for Exchange</t>
        </is>
      </c>
      <c r="C65" s="11" t="inlineStr">
        <is>
          <t>Technical Staff (+BM)</t>
        </is>
      </c>
      <c r="D65" s="13" t="inlineStr">
        <is>
          <t>Matches</t>
        </is>
      </c>
      <c r="E65" s="11" t="inlineStr">
        <is>
          <t>REQ090</t>
        </is>
      </c>
      <c r="F65" s="11" t="inlineStr">
        <is>
          <t>Return to batch + FEFO replacement in one transaction.</t>
        </is>
      </c>
    </row>
    <row r="66">
      <c r="A66" s="11" t="inlineStr">
        <is>
          <t>2.7</t>
        </is>
      </c>
      <c r="B66" s="11" t="inlineStr">
        <is>
          <t>Manage Online Customer Accounts</t>
        </is>
      </c>
      <c r="C66" s="11" t="inlineStr">
        <is>
          <t>Technical Staff (+BM)</t>
        </is>
      </c>
      <c r="D66" s="13" t="inlineStr">
        <is>
          <t>Matches</t>
        </is>
      </c>
      <c r="E66" s="11" t="inlineStr">
        <is>
          <t>REQ116-117</t>
        </is>
      </c>
      <c r="F66" s="11" t="inlineStr">
        <is>
          <t>847c877: order history listed in the profile.</t>
        </is>
      </c>
    </row>
    <row r="67">
      <c r="A67" s="11" t="inlineStr">
        <is>
          <t>2.7</t>
        </is>
      </c>
      <c r="B67" s="11" t="inlineStr">
        <is>
          <t>View Audit Log</t>
        </is>
      </c>
      <c r="C67" s="11" t="inlineStr">
        <is>
          <t>Technical Staff (+BM)</t>
        </is>
      </c>
      <c r="D67" s="13" t="inlineStr">
        <is>
          <t>Matches</t>
        </is>
      </c>
      <c r="E67" s="11" t="inlineStr">
        <is>
          <t>REQ123-124</t>
        </is>
      </c>
      <c r="F67" s="11" t="inlineStr"/>
    </row>
    <row r="68">
      <c r="A68" s="11" t="inlineStr">
        <is>
          <t>2.7</t>
        </is>
      </c>
      <c r="B68" s="11" t="inlineStr">
        <is>
          <t>Update Product Price</t>
        </is>
      </c>
      <c r="C68" s="11" t="inlineStr">
        <is>
          <t>Branch Manager</t>
        </is>
      </c>
      <c r="D68" s="13" t="inlineStr">
        <is>
          <t>Matches</t>
        </is>
      </c>
      <c r="E68" s="11" t="inlineStr">
        <is>
          <t>REQ071-072</t>
        </is>
      </c>
      <c r="F68" s="11" t="inlineStr">
        <is>
          <t>BM-only prices everywhere (publish rules).</t>
        </is>
      </c>
    </row>
    <row r="69">
      <c r="A69" s="11" t="inlineStr">
        <is>
          <t>2.7</t>
        </is>
      </c>
      <c r="B69" s="11" t="inlineStr">
        <is>
          <t>&lt;&lt;include&gt;&gt; Record Price Change in Audit Log</t>
        </is>
      </c>
      <c r="C69" s="11" t="inlineStr">
        <is>
          <t>Branch Manager</t>
        </is>
      </c>
      <c r="D69" s="13" t="inlineStr">
        <is>
          <t>Matches</t>
        </is>
      </c>
      <c r="E69" s="11" t="inlineStr">
        <is>
          <t>REQ073</t>
        </is>
      </c>
      <c r="F69" s="11" t="inlineStr">
        <is>
          <t>No reason captured.</t>
        </is>
      </c>
    </row>
    <row r="70">
      <c r="A70" s="11" t="inlineStr">
        <is>
          <t>2.7</t>
        </is>
      </c>
      <c r="B70" s="11" t="inlineStr">
        <is>
          <t>Create Staff Account &lt;&lt;include&gt;&gt; Assign Staff Role</t>
        </is>
      </c>
      <c r="C70" s="11" t="inlineStr">
        <is>
          <t>Branch Manager</t>
        </is>
      </c>
      <c r="D70" s="13" t="inlineStr">
        <is>
          <t>Matches</t>
        </is>
      </c>
      <c r="E70" s="11" t="inlineStr">
        <is>
          <t>REQ118-119</t>
        </is>
      </c>
      <c r="F70" s="11" t="inlineStr">
        <is>
          <t>Shared validators not applied.</t>
        </is>
      </c>
    </row>
    <row r="71">
      <c r="A71" s="11" t="inlineStr">
        <is>
          <t>2.7</t>
        </is>
      </c>
      <c r="B71" s="11" t="inlineStr">
        <is>
          <t>Manage Staff Accounts</t>
        </is>
      </c>
      <c r="C71" s="11" t="inlineStr">
        <is>
          <t>Branch Manager</t>
        </is>
      </c>
      <c r="D71" s="13" t="inlineStr">
        <is>
          <t>Matches</t>
        </is>
      </c>
      <c r="E71" s="11" t="inlineStr">
        <is>
          <t>REQ118</t>
        </is>
      </c>
      <c r="F71" s="11" t="inlineStr">
        <is>
          <t>Editing an Administrator silently changes it to Branch Manager.</t>
        </is>
      </c>
    </row>
  </sheetData>
  <autoFilter ref="A1:F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2" customWidth="1" min="3" max="3"/>
    <col width="46" customWidth="1" min="4" max="4"/>
    <col width="12" customWidth="1" min="5" max="5"/>
    <col width="16" customWidth="1" min="6" max="6"/>
    <col width="40" customWidth="1" min="7" max="7"/>
  </cols>
  <sheetData>
    <row r="1">
      <c r="A1" s="10" t="inlineStr">
        <is>
          <t>Figure</t>
        </is>
      </c>
      <c r="B1" s="10" t="inlineStr">
        <is>
          <t>Step / flow</t>
        </is>
      </c>
      <c r="C1" s="10" t="inlineStr">
        <is>
          <t>Paper shows</t>
        </is>
      </c>
      <c r="D1" s="10" t="inlineStr">
        <is>
          <t>System does</t>
        </is>
      </c>
      <c r="E1" s="10" t="inlineStr">
        <is>
          <t>Status</t>
        </is>
      </c>
      <c r="F1" s="10" t="inlineStr">
        <is>
          <t>Recommendation</t>
        </is>
      </c>
      <c r="G1" s="10" t="inlineStr">
        <is>
          <t>Notes</t>
        </is>
      </c>
    </row>
    <row r="2">
      <c r="A2" s="11" t="inlineStr">
        <is>
          <t>2.8</t>
        </is>
      </c>
      <c r="B2" s="11" t="inlineStr">
        <is>
          <t>Validate credentials -&gt; role redirect</t>
        </is>
      </c>
      <c r="C2" s="11" t="inlineStr">
        <is>
          <t>Valid login: customer to Home, staff to Dashboard</t>
        </is>
      </c>
      <c r="D2" s="11" t="inlineStr">
        <is>
          <t>Same (js/auth.js:94)</t>
        </is>
      </c>
      <c r="E2" s="13" t="inlineStr">
        <is>
          <t>Matches</t>
        </is>
      </c>
      <c r="F2" s="11" t="inlineStr">
        <is>
          <t>None</t>
        </is>
      </c>
      <c r="G2" s="11" t="inlineStr"/>
    </row>
    <row r="3">
      <c r="A3" s="11" t="inlineStr">
        <is>
          <t>2.8</t>
        </is>
      </c>
      <c r="B3" s="11" t="inlineStr">
        <is>
          <t>Failed attempts</t>
        </is>
      </c>
      <c r="C3" s="11" t="inlineStr">
        <is>
          <t>Increment count; at 5, lock 2 minutes; back to Login page</t>
        </is>
      </c>
      <c r="D3" s="11" t="inlineStr">
        <is>
          <t>Same (js/auth.js:57)</t>
        </is>
      </c>
      <c r="E3" s="13" t="inlineStr">
        <is>
          <t>Matches</t>
        </is>
      </c>
      <c r="F3" s="11" t="inlineStr">
        <is>
          <t>None</t>
        </is>
      </c>
      <c r="G3" s="11" t="inlineStr"/>
    </row>
    <row r="4">
      <c r="A4" s="11" t="inlineStr">
        <is>
          <t>2.8</t>
        </is>
      </c>
      <c r="B4" s="11" t="inlineStr">
        <is>
          <t>Device recognition + OTP</t>
        </is>
      </c>
      <c r="C4" s="11" t="inlineStr">
        <is>
          <t>Check if device is recognized; if not, send and validate OTP</t>
        </is>
      </c>
      <c r="D4" s="11" t="inlineStr">
        <is>
          <t>Not built</t>
        </is>
      </c>
      <c r="E4" s="15" t="inlineStr">
        <is>
          <t>Missing</t>
        </is>
      </c>
      <c r="F4" s="11" t="inlineStr">
        <is>
          <t>Change system</t>
        </is>
      </c>
      <c r="G4" s="11" t="inlineStr">
        <is>
          <t>REQ005/REQ044.</t>
        </is>
      </c>
    </row>
    <row r="5">
      <c r="A5" s="11" t="inlineStr">
        <is>
          <t>2.8</t>
        </is>
      </c>
      <c r="B5" s="11" t="inlineStr">
        <is>
          <t>Wrong OTP</t>
        </is>
      </c>
      <c r="C5" s="11" t="inlineStr">
        <is>
          <t>Diagram: 'No' from Validate OTP joins the failed-attempt counter (counts toward lockout). Text p.77: user is prompted to request a new OTP.</t>
        </is>
      </c>
      <c r="D5" s="11" t="inlineStr">
        <is>
          <t>-</t>
        </is>
      </c>
      <c r="E5" s="18" t="inlineStr">
        <is>
          <t>N/A</t>
        </is>
      </c>
      <c r="F5" s="11" t="inlineStr">
        <is>
          <t>Change paper</t>
        </is>
      </c>
      <c r="G5" s="11" t="inlineStr">
        <is>
          <t>Diagram and text disagree (C13).</t>
        </is>
      </c>
    </row>
    <row r="6">
      <c r="A6" s="11" t="inlineStr">
        <is>
          <t>2.8</t>
        </is>
      </c>
      <c r="B6" s="11" t="inlineStr">
        <is>
          <t>Steps the system has that the diagram lacks</t>
        </is>
      </c>
      <c r="C6" s="11" t="inlineStr">
        <is>
          <t>Not shown</t>
        </is>
      </c>
      <c r="D6" s="11" t="inlineStr">
        <is>
          <t>reCAPTCHA check, rejecting attempts while locked, blocking deactivated accounts, sending unverified customers to email verification</t>
        </is>
      </c>
      <c r="E6" s="16" t="inlineStr">
        <is>
          <t>Deviates</t>
        </is>
      </c>
      <c r="F6" s="11" t="inlineStr">
        <is>
          <t>Change paper</t>
        </is>
      </c>
      <c r="G6" s="11" t="inlineStr">
        <is>
          <t>Add to diagram; all are in requirements (REQ003, REQ004, REQ117, REQ002).</t>
        </is>
      </c>
    </row>
    <row r="7">
      <c r="A7" s="11" t="inlineStr">
        <is>
          <t>2.9</t>
        </is>
      </c>
      <c r="B7" s="11" t="inlineStr">
        <is>
          <t>Validate fields -&gt; duplicate email -&gt; Terms -&gt; send code</t>
        </is>
      </c>
      <c r="C7" s="11" t="inlineStr">
        <is>
          <t>Fields validated, then duplicate check, then Terms shown and accepted, then code sent</t>
        </is>
      </c>
      <c r="D7" s="11" t="inlineStr">
        <is>
          <t>Terms modal opens when the checkbox is ticked (before submit); duplicate email is caught by Firebase at account creation; code sent after</t>
        </is>
      </c>
      <c r="E7" s="16" t="inlineStr">
        <is>
          <t>Deviates</t>
        </is>
      </c>
      <c r="F7" s="11" t="inlineStr">
        <is>
          <t>Change paper</t>
        </is>
      </c>
      <c r="G7" s="11" t="inlineStr">
        <is>
          <t>Same outcome, different order (C14).</t>
        </is>
      </c>
    </row>
    <row r="8">
      <c r="A8" s="11" t="inlineStr">
        <is>
          <t>2.9</t>
        </is>
      </c>
      <c r="B8" s="11" t="inlineStr">
        <is>
          <t>Wrong / expired code</t>
        </is>
      </c>
      <c r="C8" s="11" t="inlineStr">
        <is>
          <t>Loop back to Enter Code (diagram); text p.79 adds 'request a new code'</t>
        </is>
      </c>
      <c r="D8" s="11" t="inlineStr">
        <is>
          <t>Retry or Resend link (js/verify-email.js)</t>
        </is>
      </c>
      <c r="E8" s="13" t="inlineStr">
        <is>
          <t>Matches</t>
        </is>
      </c>
      <c r="F8" s="11" t="inlineStr">
        <is>
          <t>Change paper</t>
        </is>
      </c>
      <c r="G8" s="11" t="inlineStr">
        <is>
          <t>Add Resend to diagram.</t>
        </is>
      </c>
    </row>
    <row r="9">
      <c r="A9" s="11" t="inlineStr">
        <is>
          <t>2.9</t>
        </is>
      </c>
      <c r="B9" s="11" t="inlineStr">
        <is>
          <t>After verification</t>
        </is>
      </c>
      <c r="C9" s="11" t="inlineStr">
        <is>
          <t>Go to Login</t>
        </is>
      </c>
      <c r="D9" s="11" t="inlineStr">
        <is>
          <t>Goes straight to the shop, already signed in</t>
        </is>
      </c>
      <c r="E9" s="16" t="inlineStr">
        <is>
          <t>Deviates</t>
        </is>
      </c>
      <c r="F9" s="11" t="inlineStr">
        <is>
          <t>Change paper</t>
        </is>
      </c>
      <c r="G9" s="11" t="inlineStr">
        <is>
          <t>C10.</t>
        </is>
      </c>
    </row>
    <row r="10">
      <c r="A10" s="11" t="inlineStr">
        <is>
          <t>2.9</t>
        </is>
      </c>
      <c r="B10" s="11" t="inlineStr">
        <is>
          <t>Account activation</t>
        </is>
      </c>
      <c r="C10" s="11" t="inlineStr">
        <is>
          <t>Account activated only after the code is verified</t>
        </is>
      </c>
      <c r="D10" s="11" t="inlineStr">
        <is>
          <t>Login account is created first with emailVerified:false; unverified customers are redirected to verification on login</t>
        </is>
      </c>
      <c r="E10" s="14" t="inlineStr">
        <is>
          <t>Partial</t>
        </is>
      </c>
      <c r="F10" s="11" t="inlineStr">
        <is>
          <t>None</t>
        </is>
      </c>
      <c r="G10" s="11" t="inlineStr">
        <is>
          <t>Functionally equivalent; note the REQ002 bypass issue.</t>
        </is>
      </c>
    </row>
    <row r="11">
      <c r="A11" s="11" t="inlineStr">
        <is>
          <t>2.10</t>
        </is>
      </c>
      <c r="B11" s="11" t="inlineStr">
        <is>
          <t>Catalog -&gt; cart -&gt; checkout</t>
        </is>
      </c>
      <c r="C11" s="11" t="inlineStr">
        <is>
          <t>Browse, add to cart, updated cart summary, checkout</t>
        </is>
      </c>
      <c r="D11" s="11" t="inlineStr">
        <is>
          <t>Same, plus choosing which cart items to check out</t>
        </is>
      </c>
      <c r="E11" s="13" t="inlineStr">
        <is>
          <t>Matches</t>
        </is>
      </c>
      <c r="F11" s="11" t="inlineStr">
        <is>
          <t>None</t>
        </is>
      </c>
      <c r="G11" s="11" t="inlineStr">
        <is>
          <t>Cart selection is an addition.</t>
        </is>
      </c>
    </row>
    <row r="12">
      <c r="A12" s="11" t="inlineStr">
        <is>
          <t>2.10</t>
        </is>
      </c>
      <c r="B12" s="11" t="inlineStr">
        <is>
          <t>Default address</t>
        </is>
      </c>
      <c r="C12" s="11" t="inlineStr">
        <is>
          <t>If saved, pre-fill; else enter</t>
        </is>
      </c>
      <c r="D12" s="11" t="inlineStr">
        <is>
          <t>Same (js/checkout.js)</t>
        </is>
      </c>
      <c r="E12" s="13" t="inlineStr">
        <is>
          <t>Matches</t>
        </is>
      </c>
      <c r="F12" s="11" t="inlineStr">
        <is>
          <t>None</t>
        </is>
      </c>
      <c r="G12" s="11" t="inlineStr"/>
    </row>
    <row r="13">
      <c r="A13" s="11" t="inlineStr">
        <is>
          <t>2.10</t>
        </is>
      </c>
      <c r="B13" s="11" t="inlineStr">
        <is>
          <t>RX check position</t>
        </is>
      </c>
      <c r="C13" s="11" t="inlineStr">
        <is>
          <t>Diagram: RX is checked after the address and after uploading payment proof, so RX customers are still asked for a delivery address. Text p.81: RX check comes before payment and delivery is not allowed.</t>
        </is>
      </c>
      <c r="D13" s="11" t="inlineStr">
        <is>
          <t>RX detected when checkout opens; address section hidden; pick-up only</t>
        </is>
      </c>
      <c r="E13" s="16" t="inlineStr">
        <is>
          <t>Deviates</t>
        </is>
      </c>
      <c r="F13" s="11" t="inlineStr">
        <is>
          <t>Change paper</t>
        </is>
      </c>
      <c r="G13" s="11" t="inlineStr">
        <is>
          <t>Diagram contradicts REQ023 and its own text (C15).</t>
        </is>
      </c>
    </row>
    <row r="14">
      <c r="A14" s="11" t="inlineStr">
        <is>
          <t>2.10</t>
        </is>
      </c>
      <c r="B14" s="11" t="inlineStr">
        <is>
          <t>Prescription photo upload</t>
        </is>
      </c>
      <c r="C14" s="11" t="inlineStr">
        <is>
          <t>Not shown in the diagram (text p.81 and REQ021 require it)</t>
        </is>
      </c>
      <c r="D14" s="11" t="inlineStr">
        <is>
          <t>Required on the payment page for RX orders</t>
        </is>
      </c>
      <c r="E14" s="16" t="inlineStr">
        <is>
          <t>Deviates</t>
        </is>
      </c>
      <c r="F14" s="11" t="inlineStr">
        <is>
          <t>Change paper</t>
        </is>
      </c>
      <c r="G14" s="11" t="inlineStr">
        <is>
          <t>C15.</t>
        </is>
      </c>
    </row>
    <row r="15">
      <c r="A15" s="11" t="inlineStr">
        <is>
          <t>2.10</t>
        </is>
      </c>
      <c r="B15" s="11" t="inlineStr">
        <is>
          <t>Order status after submission</t>
        </is>
      </c>
      <c r="C15" s="11" t="inlineStr">
        <is>
          <t>Recorded as Pending Payment Verification (RX included)</t>
        </is>
      </c>
      <c r="D15" s="11" t="inlineStr">
        <is>
          <t>Same ('placed' = Order Pending Verification)</t>
        </is>
      </c>
      <c r="E15" s="13" t="inlineStr">
        <is>
          <t>Matches</t>
        </is>
      </c>
      <c r="F15" s="11" t="inlineStr">
        <is>
          <t>None</t>
        </is>
      </c>
      <c r="G15" s="11" t="inlineStr">
        <is>
          <t>Diagram supports the system; REQ024 says 'Pending Prescription Verification' (C3).</t>
        </is>
      </c>
    </row>
    <row r="16">
      <c r="A16" s="11" t="inlineStr">
        <is>
          <t>2.10</t>
        </is>
      </c>
      <c r="B16" s="11" t="inlineStr">
        <is>
          <t>Order submission notification</t>
        </is>
      </c>
      <c r="C16" s="11" t="inlineStr">
        <is>
          <t>System sends a notification to the customer</t>
        </is>
      </c>
      <c r="D16" s="11" t="inlineStr">
        <is>
          <t>Order-placed notice in the customer's bell</t>
        </is>
      </c>
      <c r="E16" s="13" t="inlineStr">
        <is>
          <t>Matches</t>
        </is>
      </c>
      <c r="F16" s="11" t="inlineStr">
        <is>
          <t>None</t>
        </is>
      </c>
      <c r="G16" s="11" t="inlineStr">
        <is>
          <t>Small: add an order-placed entry to the customer bell.</t>
        </is>
      </c>
    </row>
    <row r="17">
      <c r="A17" s="11" t="inlineStr">
        <is>
          <t>2.10</t>
        </is>
      </c>
      <c r="B17" s="11" t="inlineStr">
        <is>
          <t>Steps the system has that the diagram lacks</t>
        </is>
      </c>
      <c r="C17" s="11" t="inlineStr">
        <is>
          <t>Not shown</t>
        </is>
      </c>
      <c r="D17" s="11" t="inlineStr">
        <is>
          <t>Login required to check out, delivery schedule, store credit discount, live stock re-check before submitting</t>
        </is>
      </c>
      <c r="E17" s="16" t="inlineStr">
        <is>
          <t>Deviates</t>
        </is>
      </c>
      <c r="F17" s="11" t="inlineStr">
        <is>
          <t>Change paper</t>
        </is>
      </c>
      <c r="G17" s="11" t="inlineStr">
        <is>
          <t>Optional: add to diagram (delivery schedule is in Modules p.39).</t>
        </is>
      </c>
    </row>
    <row r="18">
      <c r="A18" s="11" t="inlineStr">
        <is>
          <t>2.11</t>
        </is>
      </c>
      <c r="B18" s="11" t="inlineStr">
        <is>
          <t>Valid payment</t>
        </is>
      </c>
      <c r="C18" s="11" t="inlineStr">
        <is>
          <t>Confirm -&gt; notify customer -&gt; FEFO stock deduction -&gt; receipt</t>
        </is>
      </c>
      <c r="D18" s="11" t="inlineStr">
        <is>
          <t>Stock is deducted first; if stock ran out the order goes on an Out of Stock hold instead</t>
        </is>
      </c>
      <c r="E18" s="16" t="inlineStr">
        <is>
          <t>Deviates</t>
        </is>
      </c>
      <c r="F18" s="11" t="inlineStr">
        <is>
          <t>Change paper</t>
        </is>
      </c>
      <c r="G18" s="11" t="inlineStr">
        <is>
          <t>Diagram has no out-of-stock path (C19).</t>
        </is>
      </c>
    </row>
    <row r="19">
      <c r="A19" s="11" t="inlineStr">
        <is>
          <t>2.11</t>
        </is>
      </c>
      <c r="B19" s="11" t="inlineStr">
        <is>
          <t>RX pre-order after confirmation</t>
        </is>
      </c>
      <c r="C19" s="11" t="inlineStr">
        <is>
          <t>Diagram: admin copies delivery details, books courier and provides a tracking link before the system checks for RX</t>
        </is>
      </c>
      <c r="D19" s="11" t="inlineStr">
        <is>
          <t>RX orders skip courier booking and go straight to Ready for Pick-up</t>
        </is>
      </c>
      <c r="E19" s="16" t="inlineStr">
        <is>
          <t>Deviates</t>
        </is>
      </c>
      <c r="F19" s="11" t="inlineStr">
        <is>
          <t>Change paper</t>
        </is>
      </c>
      <c r="G19" s="11" t="inlineStr">
        <is>
          <t>RX orders can't be delivered (REQ080) (C17).</t>
        </is>
      </c>
    </row>
    <row r="20">
      <c r="A20" s="11" t="inlineStr">
        <is>
          <t>2.11</t>
        </is>
      </c>
      <c r="B20" s="11" t="inlineStr">
        <is>
          <t>Prescription review</t>
        </is>
      </c>
      <c r="C20" s="11" t="inlineStr">
        <is>
          <t>Not shown (payment screenshot only)</t>
        </is>
      </c>
      <c r="D20" s="11" t="inlineStr">
        <is>
          <t>082ec92: approve or reject (reason) before preparation; notify customer</t>
        </is>
      </c>
      <c r="E20" s="13" t="inlineStr">
        <is>
          <t>Matches</t>
        </is>
      </c>
      <c r="F20" s="11" t="inlineStr">
        <is>
          <t>None</t>
        </is>
      </c>
      <c r="G20" s="11" t="inlineStr">
        <is>
          <t>REQ077-079 require it (C3).</t>
        </is>
      </c>
    </row>
    <row r="21">
      <c r="A21" s="11" t="inlineStr">
        <is>
          <t>2.11</t>
        </is>
      </c>
      <c r="B21" s="11" t="inlineStr">
        <is>
          <t>Dispatch</t>
        </is>
      </c>
      <c r="C21" s="11" t="inlineStr">
        <is>
          <t>Admin provides tracking link; system marks Dispatched</t>
        </is>
      </c>
      <c r="D21" s="11" t="inlineStr">
        <is>
          <t>Customer now sees the tracking link; marking Dispatched with the link is still one step</t>
        </is>
      </c>
      <c r="E21" s="14" t="inlineStr">
        <is>
          <t>Partial</t>
        </is>
      </c>
      <c r="F21" s="11" t="inlineStr">
        <is>
          <t>Change system</t>
        </is>
      </c>
      <c r="G21" s="11" t="inlineStr">
        <is>
          <t>REQ034.</t>
        </is>
      </c>
    </row>
    <row r="22">
      <c r="A22" s="11" t="inlineStr">
        <is>
          <t>2.11</t>
        </is>
      </c>
      <c r="B22" s="11" t="inlineStr">
        <is>
          <t>Invalid payment</t>
        </is>
      </c>
      <c r="C22" s="11" t="inlineStr">
        <is>
          <t>On Hold -&gt; record reason -&gt; notify customer -&gt; re-upload -&gt; back to admin review</t>
        </is>
      </c>
      <c r="D22" s="11" t="inlineStr">
        <is>
          <t>Same (js/admin-online-orders.js:561; js/order-details.js)</t>
        </is>
      </c>
      <c r="E22" s="13" t="inlineStr">
        <is>
          <t>Matches</t>
        </is>
      </c>
      <c r="F22" s="11" t="inlineStr">
        <is>
          <t>None</t>
        </is>
      </c>
      <c r="G22" s="11" t="inlineStr"/>
    </row>
    <row r="23">
      <c r="A23" s="11" t="inlineStr">
        <is>
          <t>2.11</t>
        </is>
      </c>
      <c r="B23" s="11" t="inlineStr">
        <is>
          <t>Resolution without re-upload</t>
        </is>
      </c>
      <c r="C23" s="11" t="inlineStr">
        <is>
          <t>Diagram: if the customer 'performed resolution action', the system confirms the order with no admin review</t>
        </is>
      </c>
      <c r="D23" s="11" t="inlineStr">
        <is>
          <t>Every resolution returns to staff (resubmission or Release Hold)</t>
        </is>
      </c>
      <c r="E23" s="16" t="inlineStr">
        <is>
          <t>Deviates</t>
        </is>
      </c>
      <c r="F23" s="11" t="inlineStr">
        <is>
          <t>Change paper</t>
        </is>
      </c>
      <c r="G23" s="11" t="inlineStr">
        <is>
          <t>Diagram contradicts REQ101 (C18).</t>
        </is>
      </c>
    </row>
    <row r="24">
      <c r="A24" s="11" t="inlineStr">
        <is>
          <t>2.11</t>
        </is>
      </c>
      <c r="B24" s="11" t="inlineStr">
        <is>
          <t>Overpayment</t>
        </is>
      </c>
      <c r="C24" s="11" t="inlineStr">
        <is>
          <t>Treated as an invalid payment (hold)</t>
        </is>
      </c>
      <c r="D24" s="11" t="inlineStr">
        <is>
          <t>Approved immediately; excess added to store credit</t>
        </is>
      </c>
      <c r="E24" s="16" t="inlineStr">
        <is>
          <t>Deviates</t>
        </is>
      </c>
      <c r="F24" s="11" t="inlineStr">
        <is>
          <t>Change paper</t>
        </is>
      </c>
      <c r="G24" s="11" t="inlineStr">
        <is>
          <t>C2.</t>
        </is>
      </c>
    </row>
    <row r="25">
      <c r="A25" s="11" t="inlineStr">
        <is>
          <t>2.11</t>
        </is>
      </c>
      <c r="B25" s="11" t="inlineStr">
        <is>
          <t>Expired hold</t>
        </is>
      </c>
      <c r="C25" s="11" t="inlineStr">
        <is>
          <t>Admin marks the order Unresolved</t>
        </is>
      </c>
      <c r="D25" s="11" t="inlineStr">
        <is>
          <t>Closed automatically after 7 days, with verified payment kept as credit</t>
        </is>
      </c>
      <c r="E25" s="16" t="inlineStr">
        <is>
          <t>Deviates</t>
        </is>
      </c>
      <c r="F25" s="11" t="inlineStr">
        <is>
          <t>Change paper</t>
        </is>
      </c>
      <c r="G25" s="11" t="inlineStr">
        <is>
          <t>REQ100 says automatic; move step to System lane and add credit retention.</t>
        </is>
      </c>
    </row>
    <row r="26">
      <c r="A26" s="11" t="inlineStr">
        <is>
          <t>2.11</t>
        </is>
      </c>
      <c r="B26" s="11" t="inlineStr">
        <is>
          <t>Steps the system has that the diagram lacks</t>
        </is>
      </c>
      <c r="C26" s="11" t="inlineStr">
        <is>
          <t>Not shown</t>
        </is>
      </c>
      <c r="D26" s="11" t="inlineStr">
        <is>
          <t>Fully credit-covered orders (no screenshot), Release Hold by staff</t>
        </is>
      </c>
      <c r="E26" s="16" t="inlineStr">
        <is>
          <t>Deviates</t>
        </is>
      </c>
      <c r="F26" s="11" t="inlineStr">
        <is>
          <t>None</t>
        </is>
      </c>
      <c r="G26" s="11" t="inlineStr">
        <is>
          <t>Optional to add.</t>
        </is>
      </c>
    </row>
    <row r="27">
      <c r="A27" s="11" t="inlineStr">
        <is>
          <t>2.12</t>
        </is>
      </c>
      <c r="B27" s="11" t="inlineStr">
        <is>
          <t>Write-off</t>
        </is>
      </c>
      <c r="C27" s="11" t="inlineStr">
        <is>
          <t>Select product + qty, reason -&gt; deduct -&gt; audit log -&gt; low-stock check/alert</t>
        </is>
      </c>
      <c r="D27" s="11" t="inlineStr">
        <is>
          <t>Same (js/admin-inventory.js:994)</t>
        </is>
      </c>
      <c r="E27" s="13" t="inlineStr">
        <is>
          <t>Matches</t>
        </is>
      </c>
      <c r="F27" s="11" t="inlineStr">
        <is>
          <t>None</t>
        </is>
      </c>
      <c r="G27" s="11" t="inlineStr"/>
    </row>
    <row r="28">
      <c r="A28" s="11" t="inlineStr">
        <is>
          <t>2.12</t>
        </is>
      </c>
      <c r="B28" s="11" t="inlineStr">
        <is>
          <t>Stock receiving with a PO</t>
        </is>
      </c>
      <c r="C28" s="11" t="inlineStr">
        <is>
          <t>Link PO -&gt; enter details -&gt; match? add stock -&gt; audit log -&gt; low-stock check</t>
        </is>
      </c>
      <c r="D28" s="11" t="inlineStr">
        <is>
          <t>Receiving is now written to the audit log</t>
        </is>
      </c>
      <c r="E28" s="13" t="inlineStr">
        <is>
          <t>Matches</t>
        </is>
      </c>
      <c r="F28" s="11" t="inlineStr">
        <is>
          <t>None</t>
        </is>
      </c>
      <c r="G28" s="11" t="inlineStr">
        <is>
          <t>REQ122.</t>
        </is>
      </c>
    </row>
    <row r="29">
      <c r="A29" s="11" t="inlineStr">
        <is>
          <t>2.12</t>
        </is>
      </c>
      <c r="B29" s="11" t="inlineStr">
        <is>
          <t>Stock receiving: PO mismatch</t>
        </is>
      </c>
      <c r="C29" s="11" t="inlineStr">
        <is>
          <t>Diagram box repeats 'Verify if received quantities match PO quantities' -&gt; partial stock added -&gt; end</t>
        </is>
      </c>
      <c r="D29" s="11" t="inlineStr">
        <is>
          <t>Partial stock added, PO marked Discrepancy, acknowledgment required to close</t>
        </is>
      </c>
      <c r="E29" s="16" t="inlineStr">
        <is>
          <t>Deviates</t>
        </is>
      </c>
      <c r="F29" s="11" t="inlineStr">
        <is>
          <t>Change paper</t>
        </is>
      </c>
      <c r="G29" s="11" t="inlineStr">
        <is>
          <t>Copy-paste error in the diagram; should be 'Generate Discrepancy Report / Mark PO as Discrepancy', plus the acknowledgment step.</t>
        </is>
      </c>
    </row>
    <row r="30">
      <c r="A30" s="11" t="inlineStr">
        <is>
          <t>2.12</t>
        </is>
      </c>
      <c r="B30" s="11" t="inlineStr">
        <is>
          <t>Stock receiving without a PO / batch upload</t>
        </is>
      </c>
      <c r="C30" s="11" t="inlineStr">
        <is>
          <t>Not shown (text p.85 describes both)</t>
        </is>
      </c>
      <c r="D30" s="11" t="inlineStr">
        <is>
          <t>Both exist (manual Receive Stock, Excel/CSV upload)</t>
        </is>
      </c>
      <c r="E30" s="16" t="inlineStr">
        <is>
          <t>Deviates</t>
        </is>
      </c>
      <c r="F30" s="11" t="inlineStr">
        <is>
          <t>Change paper</t>
        </is>
      </c>
      <c r="G30" s="11" t="inlineStr">
        <is>
          <t>Add the no-PO branch and batch upload to the diagram.</t>
        </is>
      </c>
    </row>
    <row r="31">
      <c r="A31" s="11" t="inlineStr">
        <is>
          <t>2.12</t>
        </is>
      </c>
      <c r="B31" s="11" t="inlineStr">
        <is>
          <t>6-month flag</t>
        </is>
      </c>
      <c r="C31" s="11" t="inlineStr">
        <is>
          <t>Flag for pull-out -&gt; expiration alert -&gt; admin chooses Write Off or Reserve for Free-of-Cost</t>
        </is>
      </c>
      <c r="D31" s="11" t="inlineStr">
        <is>
          <t>Flagged automatically as Wholesale Only (only when Inventory opens) + alert; no pull-out action choice</t>
        </is>
      </c>
      <c r="E31" s="14" t="inlineStr">
        <is>
          <t>Partial</t>
        </is>
      </c>
      <c r="F31" s="11" t="inlineStr">
        <is>
          <t>Change system</t>
        </is>
      </c>
      <c r="G31" s="11" t="inlineStr">
        <is>
          <t>REQ066 timing fix; 'Reserve for free-of-cost' could just be the Wholesale Only flag + REQ091.</t>
        </is>
      </c>
    </row>
    <row r="32">
      <c r="A32" s="11" t="inlineStr">
        <is>
          <t>2.12</t>
        </is>
      </c>
      <c r="B32" s="11" t="inlineStr">
        <is>
          <t>2-month Bad Order</t>
        </is>
      </c>
      <c r="C32" s="11" t="inlineStr">
        <is>
          <t>Flag Bad Order -&gt; alert -&gt; 'Apply FEFO-Based Stock Deduction'</t>
        </is>
      </c>
      <c r="D32" s="11" t="inlineStr">
        <is>
          <t>d2a957b: built; diagram box should say 'Write off batch (Bad Order)', not FEFO deduction</t>
        </is>
      </c>
      <c r="E32" s="13" t="inlineStr">
        <is>
          <t>Matches</t>
        </is>
      </c>
      <c r="F32" s="11" t="inlineStr">
        <is>
          <t>None</t>
        </is>
      </c>
      <c r="G32" s="11" t="inlineStr">
        <is>
          <t>Build REQ067; diagram should say 'Write off / deduct the batch', not FEFO deduction.</t>
        </is>
      </c>
    </row>
    <row r="33">
      <c r="A33" s="11" t="inlineStr">
        <is>
          <t>2.12</t>
        </is>
      </c>
      <c r="B33" s="11" t="inlineStr">
        <is>
          <t>Expiry decision order</t>
        </is>
      </c>
      <c r="C33" s="11" t="inlineStr">
        <is>
          <t>Diagram tests '&lt;6 months' before '&lt;2 months' (every &lt;2-month batch also matches &lt;6)</t>
        </is>
      </c>
      <c r="D33" s="11" t="inlineStr">
        <is>
          <t>-</t>
        </is>
      </c>
      <c r="E33" s="18" t="inlineStr">
        <is>
          <t>N/A</t>
        </is>
      </c>
      <c r="F33" s="11" t="inlineStr">
        <is>
          <t>Change paper</t>
        </is>
      </c>
      <c r="G33" s="11" t="inlineStr">
        <is>
          <t>Test &lt;2 months first.</t>
        </is>
      </c>
    </row>
    <row r="34">
      <c r="A34" s="11" t="inlineStr">
        <is>
          <t>2.13</t>
        </is>
      </c>
      <c r="B34" s="11" t="inlineStr">
        <is>
          <t>Find or create buyer account</t>
        </is>
      </c>
      <c r="C34" s="11" t="inlineStr">
        <is>
          <t>Search -&gt; if new, enter details, upload documents, save</t>
        </is>
      </c>
      <c r="D34" s="11" t="inlineStr">
        <is>
          <t>Accounts searchable; create with LTO/permit upload (js/admin-wholesale-accounts.js:270)</t>
        </is>
      </c>
      <c r="E34" s="13" t="inlineStr">
        <is>
          <t>Matches</t>
        </is>
      </c>
      <c r="F34" s="11" t="inlineStr">
        <is>
          <t>None</t>
        </is>
      </c>
      <c r="G34" s="11" t="inlineStr"/>
    </row>
    <row r="35">
      <c r="A35" s="11" t="inlineStr">
        <is>
          <t>2.13</t>
        </is>
      </c>
      <c r="B35" s="11" t="inlineStr">
        <is>
          <t>Check documents are current</t>
        </is>
      </c>
      <c r="C35" s="11" t="inlineStr">
        <is>
          <t>Text p.87: verify documents, upload renewals if expired. Diagram: 'View Buyer Documents' only</t>
        </is>
      </c>
      <c r="D35" s="11" t="inlineStr">
        <is>
          <t>5cad255: LTO/permit valid-until dates; expired documents block the order</t>
        </is>
      </c>
      <c r="E35" s="13" t="inlineStr">
        <is>
          <t>Matches</t>
        </is>
      </c>
      <c r="F35" s="11" t="inlineStr">
        <is>
          <t>None</t>
        </is>
      </c>
      <c r="G35" s="11" t="inlineStr">
        <is>
          <t>REQ086 expiry dates; add the validity check to the diagram.</t>
        </is>
      </c>
    </row>
    <row r="36">
      <c r="A36" s="11" t="inlineStr">
        <is>
          <t>2.13</t>
        </is>
      </c>
      <c r="B36" s="11" t="inlineStr">
        <is>
          <t>Purchase history</t>
        </is>
      </c>
      <c r="C36" s="11" t="inlineStr">
        <is>
          <t>View purchase history</t>
        </is>
      </c>
      <c r="D36" s="11" t="inlineStr">
        <is>
          <t>5cad255: Purchase History per buyer</t>
        </is>
      </c>
      <c r="E36" s="13" t="inlineStr">
        <is>
          <t>Matches</t>
        </is>
      </c>
      <c r="F36" s="11" t="inlineStr">
        <is>
          <t>None</t>
        </is>
      </c>
      <c r="G36" s="11" t="inlineStr">
        <is>
          <t>REQ089.</t>
        </is>
      </c>
    </row>
    <row r="37">
      <c r="A37" s="11" t="inlineStr">
        <is>
          <t>2.13</t>
        </is>
      </c>
      <c r="B37" s="11" t="inlineStr">
        <is>
          <t>Near-expiry items</t>
        </is>
      </c>
      <c r="C37" s="11" t="inlineStr">
        <is>
          <t>Enable free-of-cost pricing option for near-expiry items</t>
        </is>
      </c>
      <c r="D37" s="11" t="inlineStr">
        <is>
          <t>5cad255: free-of-cost option with reason and audit entry</t>
        </is>
      </c>
      <c r="E37" s="13" t="inlineStr">
        <is>
          <t>Matches</t>
        </is>
      </c>
      <c r="F37" s="11" t="inlineStr">
        <is>
          <t>None</t>
        </is>
      </c>
      <c r="G37" s="11" t="inlineStr">
        <is>
          <t>REQ091.</t>
        </is>
      </c>
    </row>
    <row r="38">
      <c r="A38" s="11" t="inlineStr">
        <is>
          <t>2.13</t>
        </is>
      </c>
      <c r="B38" s="11" t="inlineStr">
        <is>
          <t>Confirm -&gt; FEFO -&gt; sales invoice</t>
        </is>
      </c>
      <c r="C38" s="11" t="inlineStr">
        <is>
          <t>Confirm, FEFO deduction, generate sales invoice</t>
        </is>
      </c>
      <c r="D38" s="11" t="inlineStr">
        <is>
          <t>5cad255: sales invoice PDF with buyer, batch and expiry</t>
        </is>
      </c>
      <c r="E38" s="13" t="inlineStr">
        <is>
          <t>Matches</t>
        </is>
      </c>
      <c r="F38" s="11" t="inlineStr">
        <is>
          <t>None</t>
        </is>
      </c>
      <c r="G38" s="11" t="inlineStr">
        <is>
          <t>REQ092.</t>
        </is>
      </c>
    </row>
    <row r="39">
      <c r="A39" s="11" t="inlineStr">
        <is>
          <t>2.14</t>
        </is>
      </c>
      <c r="B39" s="11" t="inlineStr">
        <is>
          <t>Select products, confirm, FEFO</t>
        </is>
      </c>
      <c r="C39" s="11" t="inlineStr">
        <is>
          <t>Select products + qty -&gt; confirm -&gt; FEFO deduction</t>
        </is>
      </c>
      <c r="D39" s="11" t="inlineStr">
        <is>
          <t>Same, plus a review screen with Edit/Confirm, payment method and change</t>
        </is>
      </c>
      <c r="E39" s="13" t="inlineStr">
        <is>
          <t>Matches</t>
        </is>
      </c>
      <c r="F39" s="11" t="inlineStr">
        <is>
          <t>Change paper</t>
        </is>
      </c>
      <c r="G39" s="11" t="inlineStr">
        <is>
          <t>Optionally add the review step and payment method to the diagram.</t>
        </is>
      </c>
    </row>
    <row r="40">
      <c r="A40" s="11" t="inlineStr">
        <is>
          <t>2.14</t>
        </is>
      </c>
      <c r="B40" s="11" t="inlineStr">
        <is>
          <t>RX item</t>
        </is>
      </c>
      <c r="C40" s="11" t="inlineStr">
        <is>
          <t>Physically verify prescription -&gt; 'Mark RX as Verified' (drawn in the System lane)</t>
        </is>
      </c>
      <c r="D40" s="11" t="inlineStr">
        <is>
          <t>57f4d80: RX Verified checkbox + notes in POS</t>
        </is>
      </c>
      <c r="E40" s="13" t="inlineStr">
        <is>
          <t>Matches</t>
        </is>
      </c>
      <c r="F40" s="11" t="inlineStr">
        <is>
          <t>None</t>
        </is>
      </c>
      <c r="G40" s="11" t="inlineStr">
        <is>
          <t>Build REQ084. In the diagram, marking verified is a staff action, so it belongs in the staff lane.</t>
        </is>
      </c>
    </row>
    <row r="41">
      <c r="A41" s="11" t="inlineStr">
        <is>
          <t>2.14</t>
        </is>
      </c>
      <c r="B41" s="11" t="inlineStr">
        <is>
          <t>Print receipt</t>
        </is>
      </c>
      <c r="C41" s="11" t="inlineStr">
        <is>
          <t>System prints receipt</t>
        </is>
      </c>
      <c r="D41" s="11" t="inlineStr">
        <is>
          <t>57f4d80: Print button, 58mm layout</t>
        </is>
      </c>
      <c r="E41" s="13" t="inlineStr">
        <is>
          <t>Matches</t>
        </is>
      </c>
      <c r="F41" s="11" t="inlineStr">
        <is>
          <t>None</t>
        </is>
      </c>
      <c r="G41" s="11" t="inlineStr"/>
    </row>
    <row r="42">
      <c r="A42" s="11" t="inlineStr">
        <is>
          <t>2.14</t>
        </is>
      </c>
      <c r="B42" s="11" t="inlineStr">
        <is>
          <t>Void</t>
        </is>
      </c>
      <c r="C42" s="11" t="inlineStr">
        <is>
          <t>Not shown (text p.89 and Fig 2.6 include it)</t>
        </is>
      </c>
      <c r="D42" s="11" t="inlineStr">
        <is>
          <t>57f4d80: void built</t>
        </is>
      </c>
      <c r="E42" s="14" t="inlineStr">
        <is>
          <t>Partial</t>
        </is>
      </c>
      <c r="F42" s="11" t="inlineStr">
        <is>
          <t>Change paper</t>
        </is>
      </c>
      <c r="G42" s="11" t="inlineStr">
        <is>
          <t>Add the void branch to the diagram.</t>
        </is>
      </c>
    </row>
    <row r="43">
      <c r="A43" s="11" t="inlineStr">
        <is>
          <t>2.15</t>
        </is>
      </c>
      <c r="B43" s="11" t="inlineStr">
        <is>
          <t>Select buyer -&gt; order -&gt; returned item -&gt; replacement -&gt; reason</t>
        </is>
      </c>
      <c r="C43" s="11" t="inlineStr">
        <is>
          <t>As listed</t>
        </is>
      </c>
      <c r="D43" s="11" t="inlineStr">
        <is>
          <t>Built from Purchase History</t>
        </is>
      </c>
      <c r="E43" s="13" t="inlineStr">
        <is>
          <t>Matches</t>
        </is>
      </c>
      <c r="F43" s="11" t="inlineStr">
        <is>
          <t>None</t>
        </is>
      </c>
      <c r="G43" s="11" t="inlineStr">
        <is>
          <t>REQ090.</t>
        </is>
      </c>
    </row>
    <row r="44">
      <c r="A44" s="11" t="inlineStr">
        <is>
          <t>2.15</t>
        </is>
      </c>
      <c r="B44" s="11" t="inlineStr">
        <is>
          <t>Inventory adjustment</t>
        </is>
      </c>
      <c r="C44" s="11" t="inlineStr">
        <is>
          <t>Diagram: FEFO deduction of the replacement only. Text p.91: returned item also added back to stock</t>
        </is>
      </c>
      <c r="D44" s="11" t="inlineStr">
        <is>
          <t>Returned units back to their batch + FEFO replacement</t>
        </is>
      </c>
      <c r="E44" s="13" t="inlineStr">
        <is>
          <t>Matches</t>
        </is>
      </c>
      <c r="F44" s="11" t="inlineStr">
        <is>
          <t>None</t>
        </is>
      </c>
      <c r="G44" s="11" t="inlineStr">
        <is>
          <t>Add 'Return item to stock' to the diagram.</t>
        </is>
      </c>
    </row>
    <row r="45">
      <c r="A45" s="11" t="inlineStr">
        <is>
          <t>2.15</t>
        </is>
      </c>
      <c r="B45" s="11" t="inlineStr">
        <is>
          <t>Audit log + document</t>
        </is>
      </c>
      <c r="C45" s="11" t="inlineStr">
        <is>
          <t>Diagram: 'Generate Sales Invoice'. Text p.91: audit log entry + 'wholesale exchange document'</t>
        </is>
      </c>
      <c r="D45" s="11" t="inlineStr">
        <is>
          <t>Audit entry + exchange document; diagram should say 'Generate Wholesale Exchange Document'</t>
        </is>
      </c>
      <c r="E45" s="13" t="inlineStr">
        <is>
          <t>Matches</t>
        </is>
      </c>
      <c r="F45" s="11" t="inlineStr">
        <is>
          <t>None</t>
        </is>
      </c>
      <c r="G45" s="11" t="inlineStr">
        <is>
          <t>Add the audit step and use one document name; REQ114 reports on these.</t>
        </is>
      </c>
    </row>
    <row r="46">
      <c r="A46" s="11" t="inlineStr">
        <is>
          <t>2.15</t>
        </is>
      </c>
      <c r="B46" s="11" t="inlineStr">
        <is>
          <t>Lane placement</t>
        </is>
      </c>
      <c r="C46" s="11" t="inlineStr">
        <is>
          <t>'Display Buyer Account and Order History' drawn in the Admin lane</t>
        </is>
      </c>
      <c r="D46" s="11" t="inlineStr">
        <is>
          <t>-</t>
        </is>
      </c>
      <c r="E46" s="18" t="inlineStr">
        <is>
          <t>N/A</t>
        </is>
      </c>
      <c r="F46" s="11" t="inlineStr">
        <is>
          <t>Change paper</t>
        </is>
      </c>
      <c r="G46" s="11" t="inlineStr">
        <is>
          <t>Move to the System lane.</t>
        </is>
      </c>
    </row>
  </sheetData>
  <autoFilter ref="A1:G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70" customWidth="1" min="3" max="3"/>
    <col width="34" customWidth="1" min="4" max="4"/>
    <col width="52" customWidth="1" min="5" max="5"/>
  </cols>
  <sheetData>
    <row r="1">
      <c r="A1" s="10" t="inlineStr">
        <is>
          <t>ID</t>
        </is>
      </c>
      <c r="B1" s="10" t="inlineStr">
        <is>
          <t>Topic</t>
        </is>
      </c>
      <c r="C1" s="10" t="inlineStr">
        <is>
          <t>Where the paper (or client) disagrees</t>
        </is>
      </c>
      <c r="D1" s="10" t="inlineStr">
        <is>
          <t>What the system does</t>
        </is>
      </c>
      <c r="E1" s="10" t="inlineStr">
        <is>
          <t>Recommendation</t>
        </is>
      </c>
    </row>
    <row r="2">
      <c r="A2" s="11" t="inlineStr">
        <is>
          <t>C1</t>
        </is>
      </c>
      <c r="B2" s="11" t="inlineStr">
        <is>
          <t>Who sets 'Delivered', and is there a 'Received' step?</t>
        </is>
      </c>
      <c r="C2" s="11" t="inlineStr">
        <is>
          <t>REQ031 (no Received), REQ105 (customer confirmation finalizes Delivered), REQ106 (auto Delivered after 3 days), Modules p.39-40 (customer marks delivered), Interview 4 ('mark as delivered siya ni customer')</t>
        </is>
      </c>
      <c r="D2" s="11" t="inlineStr">
        <is>
          <t>Staff marks Delivered or it auto-advances after 3 days; customer then confirms 'Received'.</t>
        </is>
      </c>
      <c r="E2" s="11" t="inlineStr">
        <is>
          <t>Change paper: define Delivered (staff/auto) and Received (customer) in REQ031, REQ105, Fig 2.4 text.</t>
        </is>
      </c>
    </row>
    <row r="3">
      <c r="A3" s="11" t="inlineStr">
        <is>
          <t>C2</t>
        </is>
      </c>
      <c r="B3" s="11" t="inlineStr">
        <is>
          <t>Overpayment: hold or approve?</t>
        </is>
      </c>
      <c r="C3" s="11" t="inlineStr">
        <is>
          <t>REQ095, REQ098, Fig 2.6 text and Fig 2.11 text + diagram all treat overpayment as a hold (excess recorded as unapplied value) vs Interview 4 walkthrough (enter the excess; it goes to the customer's account for the next order; client agreed)</t>
        </is>
      </c>
      <c r="D3" s="11" t="inlineStr">
        <is>
          <t>Approves immediately and credits the excess.</t>
        </is>
      </c>
      <c r="E3" s="11" t="inlineStr">
        <is>
          <t>Change paper: rewrite REQ098 and Fig 2.6/2.11 to approve-and-credit; drop overpayment from the hold types.</t>
        </is>
      </c>
    </row>
    <row r="4">
      <c r="A4" s="11" t="inlineStr">
        <is>
          <t>C3</t>
        </is>
      </c>
      <c r="B4" s="11" t="inlineStr">
        <is>
          <t>Is prescription approval a separate step?</t>
        </is>
      </c>
      <c r="C4" s="11" t="inlineStr">
        <is>
          <t>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is>
      </c>
      <c r="D4" s="11" t="inlineStr">
        <is>
          <t>Same as Fig 2.10/2.11 diagrams (payment approval only).</t>
        </is>
      </c>
      <c r="E4" s="11" t="inlineStr">
        <is>
          <t>Change system to match REQ077-079; then fix Fig 2.10 and 2.11.</t>
        </is>
      </c>
    </row>
    <row r="5">
      <c r="A5" s="11" t="inlineStr">
        <is>
          <t>C4</t>
        </is>
      </c>
      <c r="B5" s="11" t="inlineStr">
        <is>
          <t>When can a walk-in sale be voided?</t>
        </is>
      </c>
      <c r="C5" s="11" t="inlineStr">
        <is>
          <t>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is>
      </c>
      <c r="D5" s="11" t="inlineStr">
        <is>
          <t>No void.</t>
        </is>
      </c>
      <c r="E5" s="11" t="inlineStr">
        <is>
          <t>Build void for completed sales with original receipt number; reword REQ083 and Fig 2.6/2.14 text to 'completed'.</t>
        </is>
      </c>
    </row>
    <row r="6">
      <c r="A6" s="11" t="inlineStr">
        <is>
          <t>C5</t>
        </is>
      </c>
      <c r="B6" s="11" t="inlineStr">
        <is>
          <t>Who does month-end reconciliation?</t>
        </is>
      </c>
      <c r="C6" s="11" t="inlineStr">
        <is>
          <t>REQ061 (Branch Manager finalizes) vs Modules p.42 ('authorized staff' submit) vs Fig 2.5 text ('Branch Manager may open') vs Fig 2.5 diagram (Technical Staff connected)</t>
        </is>
      </c>
      <c r="D6" s="11" t="inlineStr">
        <is>
          <t>Anyone with Inventory access opens and finalizes.</t>
        </is>
      </c>
      <c r="E6" s="11" t="inlineStr">
        <is>
          <t>Technical Staff counts, Branch Manager finalizes. Align REQ061, Fig 2.5 text, and system.</t>
        </is>
      </c>
    </row>
    <row r="7">
      <c r="A7" s="11" t="inlineStr">
        <is>
          <t>C6</t>
        </is>
      </c>
      <c r="B7" s="11" t="inlineStr">
        <is>
          <t>Who can view the audit log?</t>
        </is>
      </c>
      <c r="C7" s="11" t="inlineStr">
        <is>
          <t>Fig 2.2 text ('Branch Manager ... in addition to ... audit log review', implying BM-only) vs REQ123 and Fig 2.2 diagram (Technical Staff - View Audit Log)</t>
        </is>
      </c>
      <c r="D7" s="11" t="inlineStr">
        <is>
          <t>BM and Technical Staff.</t>
        </is>
      </c>
      <c r="E7" s="11" t="inlineStr">
        <is>
          <t>Change paper: fix the Fig 2.2 description sentence.</t>
        </is>
      </c>
    </row>
    <row r="8">
      <c r="A8" s="11" t="inlineStr">
        <is>
          <t>C7</t>
        </is>
      </c>
      <c r="B8" s="11" t="inlineStr">
        <is>
          <t>Near-expiry rules</t>
        </is>
      </c>
      <c r="C8" s="11" t="inlineStr">
        <is>
          <t>REQ066 (6 months: remove + free-of-cost wholesale), REQ067 (2 months: Bad Order + auto-deduct), Modules FEFO p.41 (6-month pull-out only), Conceptual Framework (6-month pull-out, 2-month disposal), Interview 1 (6 months pull-out, 2 months BO)</t>
        </is>
      </c>
      <c r="D8" s="11" t="inlineStr">
        <is>
          <t>6-month wholesale-only flag; no 2-month handling.</t>
        </is>
      </c>
      <c r="E8" s="11" t="inlineStr">
        <is>
          <t>Build 2-month Bad Order; add it to the Modules FEFO paragraph.</t>
        </is>
      </c>
    </row>
    <row r="9">
      <c r="A9" s="11" t="inlineStr">
        <is>
          <t>C8</t>
        </is>
      </c>
      <c r="B9" s="11" t="inlineStr">
        <is>
          <t>Price change reason</t>
        </is>
      </c>
      <c r="C9" s="11" t="inlineStr">
        <is>
          <t>REQ073 (previous price, new price, timestamp) vs REQ122 (reason for each entry) vs Interview 2 (client requires reason and date)</t>
        </is>
      </c>
      <c r="D9" s="11" t="inlineStr">
        <is>
          <t>No reason captured.</t>
        </is>
      </c>
      <c r="E9" s="11" t="inlineStr">
        <is>
          <t>System + paper: add a reason field; add 'reason' to REQ073.</t>
        </is>
      </c>
    </row>
    <row r="10">
      <c r="A10" s="11" t="inlineStr">
        <is>
          <t>C9</t>
        </is>
      </c>
      <c r="B10" s="11" t="inlineStr">
        <is>
          <t>Wholesale 'agreed pricing'</t>
        </is>
      </c>
      <c r="C10" s="11" t="inlineStr">
        <is>
          <t>REQ085/087 (per-account agreed pricing) vs Interview 2 (special price for wholesalers, retail price online)</t>
        </is>
      </c>
      <c r="D10" s="11" t="inlineStr">
        <is>
          <t>Product-level wholesale price, editable per order.</t>
        </is>
      </c>
      <c r="E10" s="11" t="inlineStr">
        <is>
          <t>Change paper: describe a default wholesale price per product, adjustable per order.</t>
        </is>
      </c>
    </row>
    <row r="11">
      <c r="A11" s="11" t="inlineStr">
        <is>
          <t>C10</t>
        </is>
      </c>
      <c r="B11" s="11" t="inlineStr">
        <is>
          <t>Email verification destination</t>
        </is>
      </c>
      <c r="C11" s="11" t="inlineStr">
        <is>
          <t>Fig 2.9 text + diagram (after verification, go to Login)</t>
        </is>
      </c>
      <c r="D11" s="11" t="inlineStr">
        <is>
          <t>Redirects straight to the shop (already signed in).</t>
        </is>
      </c>
      <c r="E11" s="11" t="inlineStr">
        <is>
          <t>Change paper (minor).</t>
        </is>
      </c>
    </row>
    <row r="12">
      <c r="A12" s="11" t="inlineStr">
        <is>
          <t>C11</t>
        </is>
      </c>
      <c r="B12" s="11" t="inlineStr">
        <is>
          <t>Overall diagram completeness</t>
        </is>
      </c>
      <c r="C12" s="11" t="inlineStr">
        <is>
          <t>Fig 2.2 has no Create Purchase Order, Batch Upload, Verify Prescription, Payment Verification, Delivery, Customer Accounts, Suppliers, Notifications, Wholesale Exchange (all appear in Figs 2.5-2.7); 'Manage Live Chat' has no actor in 2.2 but is linked to Technical Staff in 2.7</t>
        </is>
      </c>
      <c r="D12" s="11" t="inlineStr">
        <is>
          <t>-</t>
        </is>
      </c>
      <c r="E12" s="11" t="inlineStr">
        <is>
          <t>Change paper: add the missing bubbles to 2.2 or say it's a summary; connect Manage Live Chat.</t>
        </is>
      </c>
    </row>
    <row r="13">
      <c r="A13" s="11" t="inlineStr">
        <is>
          <t>C12</t>
        </is>
      </c>
      <c r="B13" s="11" t="inlineStr">
        <is>
          <t>Pre-order naming</t>
        </is>
      </c>
      <c r="C13" s="11" t="inlineStr">
        <is>
          <t>Fig 2.2 'Process Prescription Pre Order' vs Fig 2.4 'Submit Prescription Pre-Order'</t>
        </is>
      </c>
      <c r="D13" s="11" t="inlineStr">
        <is>
          <t>-</t>
        </is>
      </c>
      <c r="E13" s="11" t="inlineStr">
        <is>
          <t>Change paper: use one name.</t>
        </is>
      </c>
    </row>
    <row r="14">
      <c r="A14" s="11" t="inlineStr">
        <is>
          <t>C13</t>
        </is>
      </c>
      <c r="B14" s="11" t="inlineStr">
        <is>
          <t>Wrong OTP at login</t>
        </is>
      </c>
      <c r="C14" s="11" t="inlineStr">
        <is>
          <t>Fig 2.8 diagram (wrong OTP feeds the failed-attempt counter) vs Fig 2.8 text p.77 (prompted to request a new OTP)</t>
        </is>
      </c>
      <c r="D14" s="11" t="inlineStr">
        <is>
          <t>No OTP yet.</t>
        </is>
      </c>
      <c r="E14" s="11" t="inlineStr">
        <is>
          <t>Pick one when building REQ005/044; update the other.</t>
        </is>
      </c>
    </row>
    <row r="15">
      <c r="A15" s="11" t="inlineStr">
        <is>
          <t>C14</t>
        </is>
      </c>
      <c r="B15" s="11" t="inlineStr">
        <is>
          <t>Registration order</t>
        </is>
      </c>
      <c r="C15" s="11" t="inlineStr">
        <is>
          <t>Fig 2.9 (validate, duplicate check, then Terms) vs system (Terms when ticking the checkbox, duplicate check at account creation)</t>
        </is>
      </c>
      <c r="D15" s="11" t="inlineStr">
        <is>
          <t>See left.</t>
        </is>
      </c>
      <c r="E15" s="11" t="inlineStr">
        <is>
          <t>Change paper: Terms before submit; duplicate check after.</t>
        </is>
      </c>
    </row>
    <row r="16">
      <c r="A16" s="11" t="inlineStr">
        <is>
          <t>C15</t>
        </is>
      </c>
      <c r="B16" s="11" t="inlineStr">
        <is>
          <t>RX in the purchasing flow</t>
        </is>
      </c>
      <c r="C16" s="11" t="inlineStr">
        <is>
          <t>Fig 2.10 diagram (RX checked after address and payment upload; no prescription upload) vs Fig 2.10 text p.81 and REQ021/023 (RX decided first, pick-up only, prescription photo required)</t>
        </is>
      </c>
      <c r="D16" s="11" t="inlineStr">
        <is>
          <t>Matches the text, not the diagram.</t>
        </is>
      </c>
      <c r="E16" s="11" t="inlineStr">
        <is>
          <t>Change paper: redraw the RX branch in Fig 2.10.</t>
        </is>
      </c>
    </row>
    <row r="17">
      <c r="A17" s="11" t="inlineStr">
        <is>
          <t>C16</t>
        </is>
      </c>
      <c r="B17" s="11" t="inlineStr">
        <is>
          <t>Order submission notification</t>
        </is>
      </c>
      <c r="C17" s="11" t="inlineStr">
        <is>
          <t>Fig 2.10 (system notifies customer on submission) vs REQ039 (order confirmations)</t>
        </is>
      </c>
      <c r="D17" s="11" t="inlineStr">
        <is>
          <t>No notification on submission.</t>
        </is>
      </c>
      <c r="E17" s="11" t="inlineStr">
        <is>
          <t>Change system (small).</t>
        </is>
      </c>
    </row>
    <row r="18">
      <c r="A18" s="11" t="inlineStr">
        <is>
          <t>C17</t>
        </is>
      </c>
      <c r="B18" s="11" t="inlineStr">
        <is>
          <t>RX pre-orders and couriers</t>
        </is>
      </c>
      <c r="C18" s="11" t="inlineStr">
        <is>
          <t>Fig 2.11 diagram (courier booked and tracking link sent before the RX check) vs REQ023/080 (never delivered)</t>
        </is>
      </c>
      <c r="D18" s="11" t="inlineStr">
        <is>
          <t>RX skips courier booking.</t>
        </is>
      </c>
      <c r="E18" s="11" t="inlineStr">
        <is>
          <t>Change paper: branch RX before the courier steps.</t>
        </is>
      </c>
    </row>
    <row r="19">
      <c r="A19" s="11" t="inlineStr">
        <is>
          <t>C18</t>
        </is>
      </c>
      <c r="B19" s="11" t="inlineStr">
        <is>
          <t>Resolving a hold</t>
        </is>
      </c>
      <c r="C19" s="11" t="inlineStr">
        <is>
          <t>Fig 2.11 diagram (customer resolution without re-upload confirms the order automatically) vs REQ101 (admin approval confirms)</t>
        </is>
      </c>
      <c r="D19" s="11" t="inlineStr">
        <is>
          <t>Every resolution goes back to staff.</t>
        </is>
      </c>
      <c r="E19" s="11" t="inlineStr">
        <is>
          <t>Change paper.</t>
        </is>
      </c>
    </row>
    <row r="20">
      <c r="A20" s="11" t="inlineStr">
        <is>
          <t>C19</t>
        </is>
      </c>
      <c r="B20" s="11" t="inlineStr">
        <is>
          <t>Stock check at confirmation</t>
        </is>
      </c>
      <c r="C20" s="11" t="inlineStr">
        <is>
          <t>Fig 2.11 (notify confirmed, then FEFO deduction; no shortage path) vs REQ050</t>
        </is>
      </c>
      <c r="D20" s="11" t="inlineStr">
        <is>
          <t>Deducts first; shortage puts the order on an Out of Stock hold.</t>
        </is>
      </c>
      <c r="E20" s="11" t="inlineStr">
        <is>
          <t>Change paper: add the out-of-stock hold branch.</t>
        </is>
      </c>
    </row>
  </sheetData>
  <autoFilter ref="A1:E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38" customWidth="1" min="2" max="2"/>
    <col width="38" customWidth="1" min="3" max="3"/>
    <col width="18" customWidth="1" min="4" max="4"/>
    <col width="60" customWidth="1" min="5" max="5"/>
  </cols>
  <sheetData>
    <row r="1">
      <c r="A1" s="10" t="inlineStr">
        <is>
          <t>Area</t>
        </is>
      </c>
      <c r="B1" s="10" t="inlineStr">
        <is>
          <t>Paper says</t>
        </is>
      </c>
      <c r="C1" s="10" t="inlineStr">
        <is>
          <t>System uses</t>
        </is>
      </c>
      <c r="D1" s="10" t="inlineStr">
        <is>
          <t>Recommendation</t>
        </is>
      </c>
      <c r="E1" s="10" t="inlineStr">
        <is>
          <t>Notes</t>
        </is>
      </c>
    </row>
    <row r="2">
      <c r="A2" s="11" t="inlineStr">
        <is>
          <t>Image/file storage</t>
        </is>
      </c>
      <c r="B2" s="11" t="inlineStr">
        <is>
          <t>Google Firebase cloud storage (pp.35-36)</t>
        </is>
      </c>
      <c r="C2" s="11" t="inlineStr">
        <is>
          <t>Cloudinary (js/cloudinary.js)</t>
        </is>
      </c>
      <c r="D2" s="11" t="inlineStr">
        <is>
          <t>Change paper</t>
        </is>
      </c>
      <c r="E2" s="11" t="inlineStr">
        <is>
          <t>Firebase Storage needs the Blaze plan; Cloudinary is free. Name it in Technical Background and Software list.</t>
        </is>
      </c>
    </row>
    <row r="3">
      <c r="A3" s="11" t="inlineStr">
        <is>
          <t>Hosting</t>
        </is>
      </c>
      <c r="B3" s="11" t="inlineStr">
        <is>
          <t>Netlify (pp.35, 37, Budget)</t>
        </is>
      </c>
      <c r="C3" s="11" t="inlineStr">
        <is>
          <t>Netlify (set up); local http-server for testing</t>
        </is>
      </c>
      <c r="D3" s="11" t="inlineStr">
        <is>
          <t>None</t>
        </is>
      </c>
      <c r="E3" s="11" t="inlineStr">
        <is>
          <t>DECIDED: stay on Netlify. Budget row must match the chosen plan; Netlify Functions host the OpenAI call.</t>
        </is>
      </c>
    </row>
    <row r="4">
      <c r="A4" s="11" t="inlineStr">
        <is>
          <t>Tables</t>
        </is>
      </c>
      <c r="B4" s="11" t="inlineStr">
        <is>
          <t>DataTable (pp.35, 37)</t>
        </is>
      </c>
      <c r="C4" s="11" t="inlineStr">
        <is>
          <t>Custom tables with search/sort/pagination</t>
        </is>
      </c>
      <c r="D4" s="11" t="inlineStr">
        <is>
          <t>Change paper</t>
        </is>
      </c>
      <c r="E4" s="11" t="inlineStr">
        <is>
          <t>Remove DataTable or describe as custom-built.</t>
        </is>
      </c>
    </row>
    <row r="5">
      <c r="A5" s="11" t="inlineStr">
        <is>
          <t>Searchable dropdowns</t>
        </is>
      </c>
      <c r="B5" s="11" t="inlineStr">
        <is>
          <t>Not mentioned</t>
        </is>
      </c>
      <c r="C5" s="11" t="inlineStr">
        <is>
          <t>Choices.js</t>
        </is>
      </c>
      <c r="D5" s="11" t="inlineStr">
        <is>
          <t>Change paper</t>
        </is>
      </c>
      <c r="E5" s="11" t="inlineStr">
        <is>
          <t>Add to Software list.</t>
        </is>
      </c>
    </row>
    <row r="6">
      <c r="A6" s="11" t="inlineStr">
        <is>
          <t>Email</t>
        </is>
      </c>
      <c r="B6" s="11" t="inlineStr">
        <is>
          <t>EmailJS for OTP, order confirmations, password reset (p.36)</t>
        </is>
      </c>
      <c r="C6" s="11" t="inlineStr">
        <is>
          <t>EmailJS for OTP only; password reset by Firebase Auth; no order emails</t>
        </is>
      </c>
      <c r="D6" s="11" t="inlineStr">
        <is>
          <t>System + paper</t>
        </is>
      </c>
      <c r="E6" s="11" t="inlineStr">
        <is>
          <t>Order emails are REQ039 (system). Password reset wording is paper.</t>
        </is>
      </c>
    </row>
    <row r="7">
      <c r="A7" s="11" t="inlineStr">
        <is>
          <t>AI chat</t>
        </is>
      </c>
      <c r="B7" s="11" t="inlineStr">
        <is>
          <t>OpenAI API (pp.35, 37)</t>
        </is>
      </c>
      <c r="C7" s="11" t="inlineStr">
        <is>
          <t>Not integrated yet</t>
        </is>
      </c>
      <c r="D7" s="11" t="inlineStr">
        <is>
          <t>Change system</t>
        </is>
      </c>
      <c r="E7" s="11" t="inlineStr">
        <is>
          <t>DECIDED: Gemini via Firebase AI Logic (free tier, no server needed); Groq as fallback. In the panel letter.</t>
        </is>
      </c>
    </row>
    <row r="8">
      <c r="A8" s="11" t="inlineStr">
        <is>
          <t>Receipt printing</t>
        </is>
      </c>
      <c r="B8" s="11" t="inlineStr">
        <is>
          <t>Thermal receipt printing (pp.33, 44, 89)</t>
        </is>
      </c>
      <c r="C8" s="11" t="inlineStr">
        <is>
          <t>No print</t>
        </is>
      </c>
      <c r="D8" s="11" t="inlineStr">
        <is>
          <t>Change system</t>
        </is>
      </c>
      <c r="E8" s="11" t="inlineStr">
        <is>
          <t>Browser print with a 58mm print stylesheet covers it.</t>
        </is>
      </c>
    </row>
    <row r="9">
      <c r="A9" s="11" t="inlineStr">
        <is>
          <t>Payment</t>
        </is>
      </c>
      <c r="B9" s="11" t="inlineStr">
        <is>
          <t>QR PH static QR + screenshot</t>
        </is>
      </c>
      <c r="C9" s="11" t="inlineStr">
        <is>
          <t>QR PH image file missing from repo</t>
        </is>
      </c>
      <c r="D9" s="11" t="inlineStr">
        <is>
          <t>Change system</t>
        </is>
      </c>
      <c r="E9" s="11" t="inlineStr">
        <is>
          <t>Add the client's QR image.</t>
        </is>
      </c>
    </row>
    <row r="10">
      <c r="A10" s="11" t="inlineStr">
        <is>
          <t>Charts / PDF / Excel</t>
        </is>
      </c>
      <c r="B10" s="11" t="inlineStr">
        <is>
          <t>Chart.js, jsPDF, SheetJS</t>
        </is>
      </c>
      <c r="C10" s="11" t="inlineStr">
        <is>
          <t>Same</t>
        </is>
      </c>
      <c r="D10" s="11" t="inlineStr">
        <is>
          <t>None</t>
        </is>
      </c>
      <c r="E10" s="11" t="inlineStr"/>
    </row>
    <row r="11">
      <c r="A11" s="11" t="inlineStr">
        <is>
          <t>Database wording</t>
        </is>
      </c>
      <c r="B11" s="11" t="inlineStr">
        <is>
          <t>'Real-time database' (p.35-36)</t>
        </is>
      </c>
      <c r="C11" s="11" t="inlineStr">
        <is>
          <t>Cloud Firestore (one-time reads, not live listeners)</t>
        </is>
      </c>
      <c r="D11" s="11" t="inlineStr">
        <is>
          <t>Change paper</t>
        </is>
      </c>
      <c r="E11" s="11" t="inlineStr">
        <is>
          <t>Name the product correctly; see REQNF005 on live updates.</t>
        </is>
      </c>
    </row>
    <row r="12">
      <c r="A12" s="11" t="inlineStr">
        <is>
          <t>Icons / fonts</t>
        </is>
      </c>
      <c r="B12" s="11" t="inlineStr">
        <is>
          <t>Not mentioned</t>
        </is>
      </c>
      <c r="C12" s="11" t="inlineStr">
        <is>
          <t>Bootstrap Icons, Google Fonts (Roboto)</t>
        </is>
      </c>
      <c r="D12" s="11" t="inlineStr">
        <is>
          <t>Change paper</t>
        </is>
      </c>
      <c r="E12" s="11" t="inlineStr">
        <is>
          <t>Add to Software list.</t>
        </is>
      </c>
    </row>
    <row r="13">
      <c r="A13" s="11" t="inlineStr">
        <is>
          <t>Version control / CI</t>
        </is>
      </c>
      <c r="B13" s="11" t="inlineStr">
        <is>
          <t>Netlify continuous integration with the repo</t>
        </is>
      </c>
      <c r="C13" s="11" t="inlineStr">
        <is>
          <t>GitHub repo (phobiaax/Amson, branch webapp); no CI/deploy</t>
        </is>
      </c>
      <c r="D13" s="11" t="inlineStr">
        <is>
          <t>Change paper</t>
        </is>
      </c>
      <c r="E13" s="11" t="inlineStr">
        <is>
          <t>Add Git/GitHub; CI depends on hosting decision.</t>
        </is>
      </c>
    </row>
    <row r="14">
      <c r="A14" s="11" t="inlineStr">
        <is>
          <t>Local serving</t>
        </is>
      </c>
      <c r="B14" s="11" t="inlineStr">
        <is>
          <t>Not mentioned</t>
        </is>
      </c>
      <c r="C14" s="11" t="inlineStr">
        <is>
          <t>Node.js http-server via start-server.bat</t>
        </is>
      </c>
      <c r="D14" s="11" t="inlineStr">
        <is>
          <t>Change paper</t>
        </is>
      </c>
      <c r="E14" s="11" t="inlineStr">
        <is>
          <t>Mention for the demo setup.</t>
        </is>
      </c>
    </row>
    <row r="15">
      <c r="A15" s="11" t="inlineStr">
        <is>
          <t>Mockup tool</t>
        </is>
      </c>
      <c r="B15" s="11" t="inlineStr">
        <is>
          <t>Canva (p.38) vs 'Creation of Figma' (Gantt p.97)</t>
        </is>
      </c>
      <c r="C15" s="11" t="inlineStr">
        <is>
          <t>-</t>
        </is>
      </c>
      <c r="D15" s="11" t="inlineStr">
        <is>
          <t>Change paper</t>
        </is>
      </c>
      <c r="E15" s="11" t="inlineStr">
        <is>
          <t>Use one name.</t>
        </is>
      </c>
    </row>
    <row r="16">
      <c r="A16" s="11" t="inlineStr">
        <is>
          <t>Dashboard analytics</t>
        </is>
      </c>
      <c r="B16" s="11" t="inlineStr">
        <is>
          <t>Chart.js for sales and inventory movement</t>
        </is>
      </c>
      <c r="C16" s="11" t="inlineStr">
        <is>
          <t>Sales charts only; inventory as count tiles</t>
        </is>
      </c>
      <c r="D16" s="11" t="inlineStr">
        <is>
          <t>Change paper</t>
        </is>
      </c>
      <c r="E16" s="11" t="inlineStr">
        <is>
          <t>Reword or add an inventory chart.</t>
        </is>
      </c>
    </row>
    <row r="17">
      <c r="A17" s="11" t="inlineStr">
        <is>
          <t>CAPTCHA</t>
        </is>
      </c>
      <c r="B17" s="11" t="inlineStr">
        <is>
          <t>Google reCAPTCHA</t>
        </is>
      </c>
      <c r="C17" s="11" t="inlineStr">
        <is>
          <t>Same</t>
        </is>
      </c>
      <c r="D17" s="11" t="inlineStr">
        <is>
          <t>None</t>
        </is>
      </c>
      <c r="E17" s="11" t="inlineStr"/>
    </row>
    <row r="18">
      <c r="A18" s="11" t="inlineStr">
        <is>
          <t>Auth / database</t>
        </is>
      </c>
      <c r="B18" s="11" t="inlineStr">
        <is>
          <t>Firebase Auth + Firestore</t>
        </is>
      </c>
      <c r="C18" s="11" t="inlineStr">
        <is>
          <t>Same</t>
        </is>
      </c>
      <c r="D18" s="11" t="inlineStr">
        <is>
          <t>None</t>
        </is>
      </c>
      <c r="E18" s="11" t="inlineStr"/>
    </row>
  </sheetData>
  <autoFilter ref="A1:E1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3"/>
  <sheetViews>
    <sheetView workbookViewId="0">
      <pane ySplit="1" topLeftCell="A2" activePane="bottomLeft" state="frozen"/>
      <selection pane="bottomLeft" activeCell="A1" sqref="A1"/>
    </sheetView>
  </sheetViews>
  <sheetFormatPr baseColWidth="8" defaultRowHeight="15"/>
  <cols>
    <col width="40" customWidth="1" min="1" max="1"/>
    <col width="100" customWidth="1" min="2" max="2"/>
  </cols>
  <sheetData>
    <row r="1">
      <c r="A1" s="10" t="inlineStr">
        <is>
          <t>Where in the manuscript</t>
        </is>
      </c>
      <c r="B1" s="10" t="inlineStr">
        <is>
          <t>Change</t>
        </is>
      </c>
    </row>
    <row r="2">
      <c r="A2" s="11" t="inlineStr">
        <is>
          <t>REQ007 / Technical Background p.35-36</t>
        </is>
      </c>
      <c r="B2" s="11" t="inlineStr">
        <is>
          <t>Password reset link is sent by Firebase Authentication, not EmailJS.</t>
        </is>
      </c>
    </row>
    <row r="3">
      <c r="A3" s="11" t="inlineStr">
        <is>
          <t>REQ008 p.47; Modules p.38</t>
        </is>
      </c>
      <c r="B3" s="11" t="inlineStr">
        <is>
          <t>Drop 'promotions' unless you plan them; keep 'announcements' (banner to be built).</t>
        </is>
      </c>
    </row>
    <row r="4">
      <c r="A4" s="11" t="inlineStr">
        <is>
          <t>REQ031 p.50</t>
        </is>
      </c>
      <c r="B4" s="11" t="inlineStr">
        <is>
          <t>Replace status list with: Pending Verification, Payment Confirmed, Dispatched / Ready for Pick-up, Delivered, Received / Picked Up, On Hold (with type), Closed (Unresolved).</t>
        </is>
      </c>
    </row>
    <row r="5">
      <c r="A5" s="11" t="inlineStr">
        <is>
          <t>REQ073 p.55</t>
        </is>
      </c>
      <c r="B5" s="11" t="inlineStr">
        <is>
          <t>Add 'and the stated reason' (client requirement, Interview 2) - after the reason field is built.</t>
        </is>
      </c>
    </row>
    <row r="6">
      <c r="A6" s="11" t="inlineStr">
        <is>
          <t>REQ083 p.56; Fig 2.6 text p.73; Fig 2.14 text p.89</t>
        </is>
      </c>
      <c r="B6" s="11" t="inlineStr">
        <is>
          <t>Void applies to completed transactions, referencing the original receipt number (C4).</t>
        </is>
      </c>
    </row>
    <row r="7">
      <c r="A7" s="11" t="inlineStr">
        <is>
          <t>REQ085, REQ087 p.57; Modules p.44</t>
        </is>
      </c>
      <c r="B7" s="11" t="inlineStr">
        <is>
          <t>Default wholesale price per product, adjustable per order (C9).</t>
        </is>
      </c>
    </row>
    <row r="8">
      <c r="A8" s="11" t="inlineStr">
        <is>
          <t>REQ095, REQ098 p.58-59; Fig 2.6 text p.74; Fig 2.11 text p.83</t>
        </is>
      </c>
      <c r="B8" s="11" t="inlineStr">
        <is>
          <t>Overpayment is approved and the excess is added to the customer's store credit; three hold types plus overpayment-approval (C2).</t>
        </is>
      </c>
    </row>
    <row r="9">
      <c r="A9" s="11" t="inlineStr">
        <is>
          <t>REQ105 p.60; Fig 2.4 text p.71; Modules p.39-40</t>
        </is>
      </c>
      <c r="B9" s="11" t="inlineStr">
        <is>
          <t>Delivered is set by staff (or automatically after 3 days); the customer's confirmation marks it Received (C1).</t>
        </is>
      </c>
    </row>
    <row r="10">
      <c r="A10" s="11" t="inlineStr">
        <is>
          <t>REQ121 p.61</t>
        </is>
      </c>
      <c r="B10" s="11" t="inlineStr">
        <is>
          <t>Only if you keep Sales Staff access to Walk-in Orders history: add it to REQ121.</t>
        </is>
      </c>
    </row>
    <row r="11">
      <c r="A11" s="11" t="inlineStr">
        <is>
          <t>Fig 2.2 text p.67</t>
        </is>
      </c>
      <c r="B11" s="11" t="inlineStr">
        <is>
          <t>Audit log is available to Technical Staff and Branch Manager (C6).</t>
        </is>
      </c>
    </row>
    <row r="12">
      <c r="A12" s="11" t="inlineStr">
        <is>
          <t>Fig 2.2 diagram</t>
        </is>
      </c>
      <c r="B12" s="11" t="inlineStr">
        <is>
          <t>Connect 'Manage Live Chat' to Technical Staff; add missing bubbles or label as summary (C11); one name for the pre-order use case (C12).</t>
        </is>
      </c>
    </row>
    <row r="13">
      <c r="A13" s="11" t="inlineStr">
        <is>
          <t>Fig 2.5 text p.72</t>
        </is>
      </c>
      <c r="B13" s="11" t="inlineStr">
        <is>
          <t>Technical Staff opens/counts; Branch Manager finalizes (C5).</t>
        </is>
      </c>
    </row>
    <row r="14">
      <c r="A14" s="11" t="inlineStr">
        <is>
          <t>Fig 2.2 / 2.7 diagrams</t>
        </is>
      </c>
      <c r="B14" s="11" t="inlineStr">
        <is>
          <t>Overpayment, free-of-cost distribution: no bubble anywhere; add 'Record Free-of-Cost Distribution' under Manage Wholesale Accounts if REQ091 stays.</t>
        </is>
      </c>
    </row>
    <row r="15">
      <c r="A15" s="11" t="inlineStr">
        <is>
          <t>Fig 2.8 diagram + text p.76-77</t>
        </is>
      </c>
      <c r="B15" s="11" t="inlineStr">
        <is>
          <t>Add reCAPTCHA, locked-account check, deactivated-account check, unverified-email redirect; make the wrong-OTP path match the text (C13).</t>
        </is>
      </c>
    </row>
    <row r="16">
      <c r="A16" s="11" t="inlineStr">
        <is>
          <t>Fig 2.9 diagram + text p.78-79</t>
        </is>
      </c>
      <c r="B16" s="11" t="inlineStr">
        <is>
          <t>Terms accepted before submit, duplicate email caught at account creation (C14); add Resend Code; end at the shop, signed in (C10).</t>
        </is>
      </c>
    </row>
    <row r="17">
      <c r="A17" s="11" t="inlineStr">
        <is>
          <t>Fig 2.10 diagram</t>
        </is>
      </c>
      <c r="B17" s="11" t="inlineStr">
        <is>
          <t>Move the RX decision to the start of checkout; RX skips the address; add Upload Prescription Photo (C15); optionally add delivery schedule and store credit.</t>
        </is>
      </c>
    </row>
    <row r="18">
      <c r="A18" s="11" t="inlineStr">
        <is>
          <t>Fig 2.11 diagram + text p.82-83</t>
        </is>
      </c>
      <c r="B18"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row>
    <row r="19">
      <c r="A19" s="11" t="inlineStr">
        <is>
          <t>Modules FEFO p.41</t>
        </is>
      </c>
      <c r="B19" s="11" t="inlineStr">
        <is>
          <t>Add the 2-month Bad Order step (C7).</t>
        </is>
      </c>
    </row>
    <row r="20">
      <c r="A20" s="11" t="inlineStr">
        <is>
          <t>Technical Background p.35-37; Budget p.99</t>
        </is>
      </c>
      <c r="B20" s="11" t="inlineStr">
        <is>
          <t>Cloudinary instead of Firebase Storage; Choices.js added; DataTable removed; hosting per decision (Tech Stack sheet).</t>
        </is>
      </c>
    </row>
    <row r="21">
      <c r="A21" s="11" t="inlineStr">
        <is>
          <t>Scope p.6; Product Browsing REQ009</t>
        </is>
      </c>
      <c r="B21" s="11" t="inlineStr">
        <is>
          <t>The client also sells medical supplies and grocery items (monthly report); the paper only mentions OTC/prescription medicines. Mention them, or exclude them on purpose.</t>
        </is>
      </c>
    </row>
    <row r="22">
      <c r="A22" s="11" t="inlineStr">
        <is>
          <t>Scope and Limitations p.7</t>
        </is>
      </c>
      <c r="B22" s="11" t="inlineStr">
        <is>
          <t>Add: system receipts/invoices are internal records, not BIR-registered official receipts; BIR/VAT receipts stay manual on request; no BIR or government integration (client policy, Interview 1).</t>
        </is>
      </c>
    </row>
    <row r="23">
      <c r="A23" s="11" t="inlineStr">
        <is>
          <t>Decision-dependent</t>
        </is>
      </c>
      <c r="B23" s="11" t="inlineStr">
        <is>
          <t>Live chat/AI (Obj. 1, Scope, Framework, REQ035-038, REQ108-110, NF008, NF012); real-time refresh (NF005); hosting (NF013); wholesale price visibility (REQ088).</t>
        </is>
      </c>
    </row>
  </sheetData>
  <autoFilter ref="A1:B2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50" customWidth="1" min="3" max="3"/>
    <col width="56" customWidth="1" min="4" max="4"/>
    <col width="34" customWidth="1" min="5" max="5"/>
  </cols>
  <sheetData>
    <row r="1">
      <c r="A1" s="10" t="inlineStr">
        <is>
          <t>Change</t>
        </is>
      </c>
      <c r="B1" s="10" t="inlineStr">
        <is>
          <t>Paper location</t>
        </is>
      </c>
      <c r="C1" s="10" t="inlineStr">
        <is>
          <t>What gets removed / narrowed</t>
        </is>
      </c>
      <c r="D1" s="10" t="inlineStr">
        <is>
          <t>How to avoid the letter</t>
        </is>
      </c>
      <c r="E1" s="10" t="inlineStr">
        <is>
          <t>Recommendation</t>
        </is>
      </c>
    </row>
    <row r="2">
      <c r="A2" s="11" t="inlineStr">
        <is>
          <t>Promotions on the home page</t>
        </is>
      </c>
      <c r="B2" s="11" t="inlineStr">
        <is>
          <t>REQ008 p.47; Modules p.38</t>
        </is>
      </c>
      <c r="C2" s="11" t="inlineStr">
        <is>
          <t>'promotions' dropped</t>
        </is>
      </c>
      <c r="D2" s="11" t="inlineStr">
        <is>
          <t>Build a simple promotions/announcements banner (same component as the store-closure banner)</t>
        </is>
      </c>
      <c r="E2" s="11" t="inlineStr">
        <is>
          <t>Building - no letter (S)</t>
        </is>
      </c>
    </row>
    <row r="3">
      <c r="A3" s="11" t="inlineStr">
        <is>
          <t>'Payment Rejected' order status</t>
        </is>
      </c>
      <c r="B3" s="11" t="inlineStr">
        <is>
          <t>REQ031 p.50</t>
        </is>
      </c>
      <c r="C3" s="11" t="inlineStr">
        <is>
          <t>Status list replaced; 'Payment Rejected' no longer exists</t>
        </is>
      </c>
      <c r="D3" s="11" t="inlineStr">
        <is>
          <t>Show invalid-payment holds to the customer as 'Payment Rejected - re-upload needed'</t>
        </is>
      </c>
      <c r="E3" s="11" t="inlineStr">
        <is>
          <t>Building - no letter (S)</t>
        </is>
      </c>
    </row>
    <row r="4">
      <c r="A4" s="11" t="inlineStr">
        <is>
          <t>Per-account agreed wholesale pricing</t>
        </is>
      </c>
      <c r="B4" s="11" t="inlineStr">
        <is>
          <t>REQ085, REQ087 p.57; Modules p.44</t>
        </is>
      </c>
      <c r="C4" s="11" t="inlineStr">
        <is>
          <t>Agreed price per buyer replaced by one wholesale price per product</t>
        </is>
      </c>
      <c r="D4" s="11" t="inlineStr">
        <is>
          <t>Add an optional agreed price per buyer per product, used as the default on their orders</t>
        </is>
      </c>
      <c r="E4" s="11" t="inlineStr">
        <is>
          <t>Building - no letter (M)</t>
        </is>
      </c>
    </row>
    <row r="5">
      <c r="A5" s="11" t="inlineStr">
        <is>
          <t>'On Hold - Overpayment'</t>
        </is>
      </c>
      <c r="B5" s="11" t="inlineStr">
        <is>
          <t>REQ095, REQ098 p.58-59; Fig 2.6, 2.11</t>
        </is>
      </c>
      <c r="C5" s="11" t="inlineStr">
        <is>
          <t>Overpayment hold type removed (system approves and credits instead)</t>
        </is>
      </c>
      <c r="D5" s="11" t="inlineStr">
        <is>
          <t>Ask the adviser whether this is a refinement (excess still kept as unapplied value, as REQ098 requires). Otherwise change the system to hold overpaid orders until staff apply the excess</t>
        </is>
      </c>
      <c r="E5" s="11" t="inlineStr">
        <is>
          <t>In letter (as a refinement the client approved)</t>
        </is>
      </c>
    </row>
    <row r="6">
      <c r="A6" s="11" t="inlineStr">
        <is>
          <t>Real-time updates everywhere</t>
        </is>
      </c>
      <c r="B6" s="11" t="inlineStr">
        <is>
          <t>REQNF005 p.63</t>
        </is>
      </c>
      <c r="C6" s="11" t="inlineStr">
        <is>
          <t>Limited to the verification queue and customer order page</t>
        </is>
      </c>
      <c r="D6" s="11" t="inlineStr">
        <is>
          <t>Use live updates on all order and inventory screens</t>
        </is>
      </c>
      <c r="E6" s="11" t="inlineStr">
        <is>
          <t>Building - no letter (M)</t>
        </is>
      </c>
    </row>
    <row r="7">
      <c r="A7" s="11" t="inlineStr">
        <is>
          <t>Wholesale prices admin-only</t>
        </is>
      </c>
      <c r="B7" s="11" t="inlineStr">
        <is>
          <t>REQ088 p.57</t>
        </is>
      </c>
      <c r="C7" s="11" t="inlineStr">
        <is>
          <t>Moved to Limitations (prices are hidden on screen but readable in the database)</t>
        </is>
      </c>
      <c r="D7" s="11" t="inlineStr">
        <is>
          <t>Move costing/wholesale prices to a staff-only collection</t>
        </is>
      </c>
      <c r="E7" s="11" t="inlineStr">
        <is>
          <t>Building - no letter (M)</t>
        </is>
      </c>
    </row>
    <row r="8">
      <c r="A8" s="11" t="inlineStr">
        <is>
          <t>Push notifications</t>
        </is>
      </c>
      <c r="B8" s="11" t="inlineStr">
        <is>
          <t>Theoretical Framework p.23</t>
        </is>
      </c>
      <c r="C8" s="11" t="inlineStr">
        <is>
          <t>'Instantaneous push notifications' reworded to in-app alerts</t>
        </is>
      </c>
      <c r="D8" s="11" t="inlineStr">
        <is>
          <t>Add browser notifications for staff alerts</t>
        </is>
      </c>
      <c r="E8" s="11" t="inlineStr">
        <is>
          <t>Building - no letter (S)</t>
        </is>
      </c>
    </row>
    <row r="9">
      <c r="A9" s="11" t="inlineStr">
        <is>
          <t>Chart.js inventory analytics</t>
        </is>
      </c>
      <c r="B9" s="11" t="inlineStr">
        <is>
          <t>Technical Background p.35-37</t>
        </is>
      </c>
      <c r="C9" s="11" t="inlineStr">
        <is>
          <t>Inventory movement charts not provided</t>
        </is>
      </c>
      <c r="D9" s="11" t="inlineStr">
        <is>
          <t>Add an inventory movement chart to the dashboard</t>
        </is>
      </c>
      <c r="E9" s="11" t="inlineStr">
        <is>
          <t>Building - no letter (S)</t>
        </is>
      </c>
    </row>
    <row r="10">
      <c r="A10" s="11" t="inlineStr">
        <is>
          <t>Price locking</t>
        </is>
      </c>
      <c r="B10" s="11" t="inlineStr">
        <is>
          <t>Modules p.42</t>
        </is>
      </c>
      <c r="C10" s="11" t="inlineStr">
        <is>
          <t>'Allows price locking' reworded</t>
        </is>
      </c>
      <c r="D10" s="11" t="inlineStr">
        <is>
          <t>Add a lock/unlock toggle per product for the Branch Manager</t>
        </is>
      </c>
      <c r="E10" s="11" t="inlineStr">
        <is>
          <t>Building - no letter (S)</t>
        </is>
      </c>
    </row>
    <row r="11">
      <c r="A11" s="11" t="inlineStr">
        <is>
          <t>OpenAI API</t>
        </is>
      </c>
      <c r="B11" s="11" t="inlineStr">
        <is>
          <t>9 places: pp.3, 4, 24, 26, 34, 35, 37-38, 63</t>
        </is>
      </c>
      <c r="C11" s="11" t="inlineStr">
        <is>
          <t>Replaced by a free provider (Gemini via Firebase AI Logic, if approved)</t>
        </is>
      </c>
      <c r="D11" s="11" t="inlineStr">
        <is>
          <t>Keep OpenAI (paid, prepaid credit)</t>
        </is>
      </c>
      <c r="E11" s="11" t="inlineStr">
        <is>
          <t>In letter (same letter as the other tool swaps)</t>
        </is>
      </c>
    </row>
    <row r="12">
      <c r="A12" s="11" t="inlineStr">
        <is>
          <t>DataTable library</t>
        </is>
      </c>
      <c r="B12" s="11" t="inlineStr">
        <is>
          <t>Technical Background p.35, 37</t>
        </is>
      </c>
      <c r="C12" s="11" t="inlineStr">
        <is>
          <t>Removed (custom tables used)</t>
        </is>
      </c>
      <c r="D12" s="11" t="inlineStr">
        <is>
          <t>Use the DataTables library on the main tables</t>
        </is>
      </c>
      <c r="E12" s="11" t="inlineStr">
        <is>
          <t>In letter</t>
        </is>
      </c>
    </row>
    <row r="13">
      <c r="A13" s="11" t="inlineStr">
        <is>
          <t>Firebase Storage for images</t>
        </is>
      </c>
      <c r="B13" s="11" t="inlineStr">
        <is>
          <t>Technical Background p.35-36</t>
        </is>
      </c>
      <c r="C13" s="11" t="inlineStr">
        <is>
          <t>Replaced by Cloudinary</t>
        </is>
      </c>
      <c r="D13" s="11" t="inlineStr">
        <is>
          <t>Move uploads to Firebase Storage (needs the paid Blaze plan)</t>
        </is>
      </c>
      <c r="E13" s="11" t="inlineStr">
        <is>
          <t>In letter</t>
        </is>
      </c>
    </row>
    <row r="14">
      <c r="A14" s="11" t="inlineStr">
        <is>
          <t>EmailJS for password reset</t>
        </is>
      </c>
      <c r="B14" s="11" t="inlineStr">
        <is>
          <t>Technical Background p.36</t>
        </is>
      </c>
      <c r="C14" s="11" t="inlineStr">
        <is>
          <t>Replaced by Firebase Auth's own reset email</t>
        </is>
      </c>
      <c r="D14" s="11" t="inlineStr">
        <is>
          <t>Send reset links through EmailJS</t>
        </is>
      </c>
      <c r="E14" s="11" t="inlineStr">
        <is>
          <t>In letter</t>
        </is>
      </c>
    </row>
    <row r="15">
      <c r="A15" s="11" t="inlineStr">
        <is>
          <t>Who the system serves</t>
        </is>
      </c>
      <c r="B15" s="11" t="inlineStr">
        <is>
          <t>Scope p.6; Conceptual Framework p.25</t>
        </is>
      </c>
      <c r="C15" s="11" t="inlineStr">
        <is>
          <t>'Wholesale clients' and 'main office' as users; wholesale buyers registering/ordering online</t>
        </is>
      </c>
      <c r="D15" s="11" t="inlineStr">
        <is>
          <t>None - the original text is inaccurate (wholesale is staff-recorded per the client)</t>
        </is>
      </c>
      <c r="E15" s="11" t="inlineStr">
        <is>
          <t>In letter (correction)</t>
        </is>
      </c>
    </row>
  </sheetData>
  <autoFilter ref="A1:E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34" customWidth="1" min="3" max="3"/>
    <col width="44" customWidth="1" min="4" max="4"/>
    <col width="30" customWidth="1" min="5" max="5"/>
  </cols>
  <sheetData>
    <row r="1">
      <c r="A1" s="10" t="inlineStr">
        <is>
          <t>Client report</t>
        </is>
      </c>
      <c r="B1" s="10" t="inlineStr">
        <is>
          <t>Section / columns</t>
        </is>
      </c>
      <c r="C1" s="10" t="inlineStr">
        <is>
          <t>System data today</t>
        </is>
      </c>
      <c r="D1" s="10" t="inlineStr">
        <is>
          <t>Gap</t>
        </is>
      </c>
      <c r="E1" s="10" t="inlineStr">
        <is>
          <t>To-Do</t>
        </is>
      </c>
    </row>
    <row r="2">
      <c r="A2" s="11" t="inlineStr">
        <is>
          <t>Daily Sales (PDF)</t>
        </is>
      </c>
      <c r="B2" s="11" t="inlineStr">
        <is>
          <t>Header: store name, date range 12:00:01 AM - 11:59:59 PM</t>
        </is>
      </c>
      <c r="C2" s="11" t="inlineStr">
        <is>
          <t>-</t>
        </is>
      </c>
      <c r="D2" s="11" t="inlineStr">
        <is>
          <t>-</t>
        </is>
      </c>
      <c r="E2" s="11" t="inlineStr">
        <is>
          <t>Reports module</t>
        </is>
      </c>
    </row>
    <row r="3">
      <c r="A3" s="11" t="inlineStr">
        <is>
          <t>Daily Sales (PDF)</t>
        </is>
      </c>
      <c r="B3" s="11" t="inlineStr">
        <is>
          <t>Sales: Date, No. of Orders, Total, Discount/Deduction, Grand Total, Less VAT, VATable Sales, VAT 12%, VAT Exempt Sales</t>
        </is>
      </c>
      <c r="C3" s="11" t="inlineStr">
        <is>
          <t>posSales, orders, wholesaleOrders totals</t>
        </is>
      </c>
      <c r="D3" s="11" t="inlineStr">
        <is>
          <t>No discounts; no VAT fields (sample day: all VAT-exempt)</t>
        </is>
      </c>
      <c r="E3" s="11" t="inlineStr">
        <is>
          <t>Discount decision; VAT question to client</t>
        </is>
      </c>
    </row>
    <row r="4">
      <c r="A4" s="11" t="inlineStr">
        <is>
          <t>Daily Sales (PDF)</t>
        </is>
      </c>
      <c r="B4" s="11" t="inlineStr">
        <is>
          <t>Pay-In, Pay-Out, TOTAL</t>
        </is>
      </c>
      <c r="C4" s="11" t="inlineStr">
        <is>
          <t>-</t>
        </is>
      </c>
      <c r="D4" s="11" t="inlineStr">
        <is>
          <t>Not recorded</t>
        </is>
      </c>
      <c r="E4" s="11" t="inlineStr">
        <is>
          <t>Pay-in/pay-out decision</t>
        </is>
      </c>
    </row>
    <row r="5">
      <c r="A5" s="11" t="inlineStr">
        <is>
          <t>Daily Sales (PDF)</t>
        </is>
      </c>
      <c r="B5" s="11" t="inlineStr">
        <is>
          <t>Retail Sales: Date, No. of Items, Total Amount</t>
        </is>
      </c>
      <c r="C5" s="11" t="inlineStr">
        <is>
          <t>posSales + online orders</t>
        </is>
      </c>
      <c r="D5" s="11" t="inlineStr">
        <is>
          <t>OK once combined</t>
        </is>
      </c>
      <c r="E5" s="11" t="inlineStr"/>
    </row>
    <row r="6">
      <c r="A6" s="11" t="inlineStr">
        <is>
          <t>Daily Sales (PDF)</t>
        </is>
      </c>
      <c r="B6" s="11" t="inlineStr">
        <is>
          <t>Wholesale Sales: Date, No. of Items, Total Amount</t>
        </is>
      </c>
      <c r="C6" s="11" t="inlineStr">
        <is>
          <t>wholesaleOrders</t>
        </is>
      </c>
      <c r="D6" s="11" t="inlineStr">
        <is>
          <t>OK</t>
        </is>
      </c>
      <c r="E6" s="11" t="inlineStr"/>
    </row>
    <row r="7">
      <c r="A7" s="11" t="inlineStr">
        <is>
          <t>Daily Sales (PDF)</t>
        </is>
      </c>
      <c r="B7" s="11" t="inlineStr">
        <is>
          <t>Payment Method: Bank Transfer, Cash, Credit, G-Cash, Terminal - orders + amount</t>
        </is>
      </c>
      <c r="C7" s="11" t="inlineStr">
        <is>
          <t>posSales.paymentMethod (cash/card/e-wallet only)</t>
        </is>
      </c>
      <c r="D7" s="11" t="inlineStr">
        <is>
          <t>No Bank Transfer/Credit; wholesale has no payment method</t>
        </is>
      </c>
      <c r="E7" s="11" t="inlineStr">
        <is>
          <t>Payment method + terms item</t>
        </is>
      </c>
    </row>
    <row r="8">
      <c r="A8" s="11" t="inlineStr">
        <is>
          <t>Daily Sales (PDF)</t>
        </is>
      </c>
      <c r="B8" s="11" t="inlineStr">
        <is>
          <t>Item Sold: Item, No. of Items, Total Amount, Discount (sorted by qty)</t>
        </is>
      </c>
      <c r="C8" s="11" t="inlineStr">
        <is>
          <t>sale line items</t>
        </is>
      </c>
      <c r="D8" s="11" t="inlineStr">
        <is>
          <t>OK (no discount)</t>
        </is>
      </c>
      <c r="E8" s="11" t="inlineStr"/>
    </row>
    <row r="9">
      <c r="A9" s="11" t="inlineStr">
        <is>
          <t>Customer File (Excel, daily)</t>
        </is>
      </c>
      <c r="B9" s="11" t="inlineStr">
        <is>
          <t>Customer Name, Date+time, SI#, Batch No, Exp, Qty, Item, Sales Price, Total Amount, Terms of Payment; subtotal per customer</t>
        </is>
      </c>
      <c r="C9" s="11" t="inlineStr">
        <is>
          <t>sale line items</t>
        </is>
      </c>
      <c r="D9" s="11" t="inlineStr">
        <is>
          <t>No batch/expiry per line, no SI#, no walk-in customer name, no terms</t>
        </is>
      </c>
      <c r="E9" s="11" t="inlineStr">
        <is>
          <t>Batch per sale; SI#; walk-in name; payment terms</t>
        </is>
      </c>
    </row>
    <row r="10">
      <c r="A10" s="11" t="inlineStr">
        <is>
          <t>Monthly Inventory (Excel)</t>
        </is>
      </c>
      <c r="B10" s="11" t="inlineStr">
        <is>
          <t>One sheet per category (Generics, Medical Supplies, Grocery, Drugstore per pc, Branded): Product, POS stock, Physical count, Costing, Retail, Wholesale, Batch #, Expiry</t>
        </is>
      </c>
      <c r="C10" s="11" t="inlineStr">
        <is>
          <t>stockBatches + reconciliation counts + product prices</t>
        </is>
      </c>
      <c r="D10" s="11" t="inlineStr">
        <is>
          <t>Categories differ; needs reconciliation export by category</t>
        </is>
      </c>
      <c r="E10" s="11" t="inlineStr">
        <is>
          <t>Categories item; Reports module</t>
        </is>
      </c>
    </row>
    <row r="11">
      <c r="A11" s="11" t="inlineStr">
        <is>
          <t>Monthly Return to POS (Excel)</t>
        </is>
      </c>
      <c r="B11" s="11" t="inlineStr">
        <is>
          <t>Item, Batch, Expiry, Customer, DR#, Date Purchased, Date Returned, Qty, Amount, Total</t>
        </is>
      </c>
      <c r="C11" s="11" t="inlineStr">
        <is>
          <t>-</t>
        </is>
      </c>
      <c r="D11" s="11" t="inlineStr">
        <is>
          <t>Wholesale exchange/return not built; no DR#/SI# on the original sale</t>
        </is>
      </c>
      <c r="E11" s="11" t="inlineStr">
        <is>
          <t>Wholesale exchange; SI#</t>
        </is>
      </c>
    </row>
    <row r="12">
      <c r="A12" s="11" t="inlineStr">
        <is>
          <t>Monthly Supplier Purchases (Excel)</t>
        </is>
      </c>
      <c r="B12" s="11" t="inlineStr">
        <is>
          <t>Supplier Name, Order Date, Receipt #, Product, Brand, Packs, Batch #, Expiry, Qty, Price, Amount, Total; separate Drugstore and Grocery sheets</t>
        </is>
      </c>
      <c r="C12" s="11" t="inlineStr">
        <is>
          <t>stockBatches (supplier, batch, expiry, qty, date)</t>
        </is>
      </c>
      <c r="D12" s="11" t="inlineStr">
        <is>
          <t>No receipt #, unit cost, pack on receiving</t>
        </is>
      </c>
      <c r="E12" s="11" t="inlineStr">
        <is>
          <t>Receiving fields item</t>
        </is>
      </c>
    </row>
    <row r="13">
      <c r="A13" s="11" t="inlineStr">
        <is>
          <t>Observations</t>
        </is>
      </c>
      <c r="B13" s="11" t="inlineStr">
        <is>
          <t>Their old POS shows negative stock (-1); several expiries are typed into product names (e.g. '4/28'); one batch cell can list several expiries</t>
        </is>
      </c>
      <c r="C13" s="11" t="inlineStr">
        <is>
          <t>-</t>
        </is>
      </c>
      <c r="D13" s="11" t="inlineStr">
        <is>
          <t>Our system blocks negative stock and keeps one expiry per batch - good defense talking points; data needs cleaning before import</t>
        </is>
      </c>
      <c r="E13" s="11" t="inlineStr">
        <is>
          <t>Catalog import item</t>
        </is>
      </c>
    </row>
  </sheetData>
  <autoFilter ref="A1:E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70" customWidth="1" min="2" max="2"/>
    <col width="50" customWidth="1" min="3" max="3"/>
    <col width="26" customWidth="1" min="4" max="4"/>
  </cols>
  <sheetData>
    <row r="1">
      <c r="A1" s="10" t="inlineStr">
        <is>
          <t>Interview</t>
        </is>
      </c>
      <c r="B1" s="10" t="inlineStr">
        <is>
          <t>What the client asked</t>
        </is>
      </c>
      <c r="C1" s="10" t="inlineStr">
        <is>
          <t>Where it's covered</t>
        </is>
      </c>
      <c r="D1" s="10" t="inlineStr">
        <is>
          <t>Status</t>
        </is>
      </c>
    </row>
    <row r="2">
      <c r="A2" s="11" t="inlineStr">
        <is>
          <t>1</t>
        </is>
      </c>
      <c r="B2" s="11" t="inlineStr">
        <is>
          <t>Price lock: one person changes prices, can lower then restore, changes monitored</t>
        </is>
      </c>
      <c r="C2" s="11" t="inlineStr">
        <is>
          <t>To-Do: price lock item; REQ071-073</t>
        </is>
      </c>
      <c r="D2" s="11" t="inlineStr">
        <is>
          <t>Covered</t>
        </is>
      </c>
    </row>
    <row r="3">
      <c r="A3" s="11" t="inlineStr">
        <is>
          <t>1, 4</t>
        </is>
      </c>
      <c r="B3" s="11" t="inlineStr">
        <is>
          <t>Void / cancel with lock, reason, receipt number, stock restore, exchange</t>
        </is>
      </c>
      <c r="C3" s="11" t="inlineStr">
        <is>
          <t>To-Do: walk-in void; receipt numbers</t>
        </is>
      </c>
      <c r="D3" s="11" t="inlineStr">
        <is>
          <t>Covered (rules added from Interview 4)</t>
        </is>
      </c>
    </row>
    <row r="4">
      <c r="A4" s="11" t="inlineStr">
        <is>
          <t>1</t>
        </is>
      </c>
      <c r="B4" s="11" t="inlineStr">
        <is>
          <t>Reports with batch + expiry, summarized, copy-paste into office Excel</t>
        </is>
      </c>
      <c r="C4" s="11" t="inlineStr">
        <is>
          <t>To-Do: Reports module</t>
        </is>
      </c>
      <c r="D4" s="11" t="inlineStr">
        <is>
          <t>Covered</t>
        </is>
      </c>
    </row>
    <row r="5">
      <c r="A5" s="11" t="inlineStr">
        <is>
          <t>1</t>
        </is>
      </c>
      <c r="B5" s="11" t="inlineStr">
        <is>
          <t>'Keep' a punched walk-in order until the customer confirms</t>
        </is>
      </c>
      <c r="C5" s="11" t="inlineStr">
        <is>
          <t>To-Do: park/hold sale</t>
        </is>
      </c>
      <c r="D5" s="11" t="inlineStr">
        <is>
          <t>Added now (Decision)</t>
        </is>
      </c>
    </row>
    <row r="6">
      <c r="A6" s="11" t="inlineStr">
        <is>
          <t>1</t>
        </is>
      </c>
      <c r="B6" s="11" t="inlineStr">
        <is>
          <t>Small thermal receipt printer</t>
        </is>
      </c>
      <c r="C6" s="11" t="inlineStr">
        <is>
          <t>To-Do: receipt printing</t>
        </is>
      </c>
      <c r="D6" s="11" t="inlineStr">
        <is>
          <t>Covered</t>
        </is>
      </c>
    </row>
    <row r="7">
      <c r="A7" s="11" t="inlineStr">
        <is>
          <t>1</t>
        </is>
      </c>
      <c r="B7" s="11" t="inlineStr">
        <is>
          <t>Usable on the manager's phone</t>
        </is>
      </c>
      <c r="C7" s="11" t="inlineStr">
        <is>
          <t>REQNF003 test pass</t>
        </is>
      </c>
      <c r="D7" s="11" t="inlineStr">
        <is>
          <t>Covered</t>
        </is>
      </c>
    </row>
    <row r="8">
      <c r="A8" s="11" t="inlineStr">
        <is>
          <t>1</t>
        </is>
      </c>
      <c r="B8" s="11" t="inlineStr">
        <is>
          <t>Not connected to BIR or government; confidential</t>
        </is>
      </c>
      <c r="C8" s="11" t="inlineStr">
        <is>
          <t>To-Do: 'not an official receipt' relabel; Limitations edit</t>
        </is>
      </c>
      <c r="D8" s="11" t="inlineStr">
        <is>
          <t>Added now</t>
        </is>
      </c>
    </row>
    <row r="9">
      <c r="A9" s="11" t="inlineStr">
        <is>
          <t>1</t>
        </is>
      </c>
      <c r="B9" s="11" t="inlineStr">
        <is>
          <t>Announce closure days to buyers</t>
        </is>
      </c>
      <c r="C9" s="11" t="inlineStr">
        <is>
          <t>To-Do: announcement banner (REQ008)</t>
        </is>
      </c>
      <c r="D9" s="11" t="inlineStr">
        <is>
          <t>Added now</t>
        </is>
      </c>
    </row>
    <row r="10">
      <c r="A10" s="11" t="inlineStr">
        <is>
          <t>1</t>
        </is>
      </c>
      <c r="B10" s="11" t="inlineStr">
        <is>
          <t>Free goods: near-expiry RX only to doctors, vitamins to all</t>
        </is>
      </c>
      <c r="C10" s="11" t="inlineStr">
        <is>
          <t>To-Do: wholesale free-of-cost (note)</t>
        </is>
      </c>
      <c r="D10" s="11" t="inlineStr">
        <is>
          <t>Added now (note)</t>
        </is>
      </c>
    </row>
    <row r="11">
      <c r="A11" s="11" t="inlineStr">
        <is>
          <t>1</t>
        </is>
      </c>
      <c r="B11" s="11" t="inlineStr">
        <is>
          <t>Multi-branch / Manila branch use</t>
        </is>
      </c>
      <c r="C11" s="11" t="inlineStr">
        <is>
          <t>Limitations p.7 (single branch)</t>
        </is>
      </c>
      <c r="D11" s="11" t="inlineStr">
        <is>
          <t>Out of scope</t>
        </is>
      </c>
    </row>
    <row r="12">
      <c r="A12" s="11" t="inlineStr">
        <is>
          <t>2</t>
        </is>
      </c>
      <c r="B12" s="11" t="inlineStr">
        <is>
          <t>Sales Staff = POS only</t>
        </is>
      </c>
      <c r="C12" s="11" t="inlineStr">
        <is>
          <t>REQ121 decision</t>
        </is>
      </c>
      <c r="D12" s="11" t="inlineStr">
        <is>
          <t>Covered</t>
        </is>
      </c>
    </row>
    <row r="13">
      <c r="A13" s="11" t="inlineStr">
        <is>
          <t>2</t>
        </is>
      </c>
      <c r="B13" s="11" t="inlineStr">
        <is>
          <t>Wholesale not online; retail price only online</t>
        </is>
      </c>
      <c r="C13" s="11" t="inlineStr">
        <is>
          <t>REQ088 (wholesale price visibility)</t>
        </is>
      </c>
      <c r="D13" s="11" t="inlineStr">
        <is>
          <t>Covered</t>
        </is>
      </c>
    </row>
    <row r="14">
      <c r="A14" s="11" t="inlineStr">
        <is>
          <t>2</t>
        </is>
      </c>
      <c r="B14" s="11" t="inlineStr">
        <is>
          <t>Wholesale documents: LTO + business permit, latest copies</t>
        </is>
      </c>
      <c r="C14" s="11" t="inlineStr">
        <is>
          <t>REQ086 expiry tracking</t>
        </is>
      </c>
      <c r="D14" s="11" t="inlineStr">
        <is>
          <t>Covered</t>
        </is>
      </c>
    </row>
    <row r="15">
      <c r="A15" s="11" t="inlineStr">
        <is>
          <t>2</t>
        </is>
      </c>
      <c r="B15" s="11" t="inlineStr">
        <is>
          <t>POS receipt printed; BIR receipt with VAT only on request</t>
        </is>
      </c>
      <c r="C15" s="11" t="inlineStr">
        <is>
          <t>'Not an official receipt' item; Limitations edit</t>
        </is>
      </c>
      <c r="D15" s="11" t="inlineStr">
        <is>
          <t>Added now</t>
        </is>
      </c>
    </row>
    <row r="16">
      <c r="A16" s="11" t="inlineStr">
        <is>
          <t>2</t>
        </is>
      </c>
      <c r="B16" s="11" t="inlineStr">
        <is>
          <t>Send the sales invoice format</t>
        </is>
      </c>
      <c r="C16" s="11" t="inlineStr">
        <is>
          <t>Client item</t>
        </is>
      </c>
      <c r="D16" s="11" t="inlineStr">
        <is>
          <t>Covered</t>
        </is>
      </c>
    </row>
    <row r="17">
      <c r="A17" s="11" t="inlineStr">
        <is>
          <t>2</t>
        </is>
      </c>
      <c r="B17" s="11" t="inlineStr">
        <is>
          <t>Price change needs reason and date (option or free note, e.g. 'approved by boss')</t>
        </is>
      </c>
      <c r="C17" s="11" t="inlineStr">
        <is>
          <t>Price lock item</t>
        </is>
      </c>
      <c r="D17" s="11" t="inlineStr">
        <is>
          <t>Covered</t>
        </is>
      </c>
    </row>
    <row r="18">
      <c r="A18" s="11" t="inlineStr">
        <is>
          <t>2</t>
        </is>
      </c>
      <c r="B18" s="11" t="inlineStr">
        <is>
          <t>Customer file per wholesale buyer; reorder past purchases</t>
        </is>
      </c>
      <c r="C18" s="11" t="inlineStr">
        <is>
          <t>Wholesale history item (reorder added)</t>
        </is>
      </c>
      <c r="D18" s="11" t="inlineStr">
        <is>
          <t>Added now (reorder)</t>
        </is>
      </c>
    </row>
    <row r="19">
      <c r="A19" s="11" t="inlineStr">
        <is>
          <t>2</t>
        </is>
      </c>
      <c r="B19" s="11" t="inlineStr">
        <is>
          <t>Daily sales (per customer, items, batch, expiry); monthly purchases (batch, expiry, purchase date, receipt no., supplier); monthly inventory; pull-out; returns</t>
        </is>
      </c>
      <c r="C19" s="11" t="inlineStr">
        <is>
          <t>Reports module; supplier DR number field</t>
        </is>
      </c>
      <c r="D19" s="11" t="inlineStr">
        <is>
          <t>Added now (DR number)</t>
        </is>
      </c>
    </row>
    <row r="20">
      <c r="A20" s="11" t="inlineStr">
        <is>
          <t>2</t>
        </is>
      </c>
      <c r="B20" s="11" t="inlineStr">
        <is>
          <t>Wholesale returns as item exchange, no money back</t>
        </is>
      </c>
      <c r="C20" s="11" t="inlineStr">
        <is>
          <t>Wholesale exchange item</t>
        </is>
      </c>
      <c r="D20" s="11" t="inlineStr">
        <is>
          <t>Covered</t>
        </is>
      </c>
    </row>
    <row r="21">
      <c r="A21" s="11" t="inlineStr">
        <is>
          <t>2</t>
        </is>
      </c>
      <c r="B21" s="11" t="inlineStr">
        <is>
          <t>Free-of-cost for wholesale only</t>
        </is>
      </c>
      <c r="C21" s="11" t="inlineStr">
        <is>
          <t>Wholesale free-of-cost item</t>
        </is>
      </c>
      <c r="D21" s="11" t="inlineStr">
        <is>
          <t>Covered</t>
        </is>
      </c>
    </row>
    <row r="22">
      <c r="A22" s="11" t="inlineStr">
        <is>
          <t>2, 3</t>
        </is>
      </c>
      <c r="B22" s="11" t="inlineStr">
        <is>
          <t>Lalamove only; payment first, no COD; customer pays rider</t>
        </is>
      </c>
      <c r="C22" s="11" t="inlineStr">
        <is>
          <t>REQ020; Terms rewrite</t>
        </is>
      </c>
      <c r="D22" s="11" t="inlineStr">
        <is>
          <t>Covered</t>
        </is>
      </c>
    </row>
    <row r="23">
      <c r="A23" s="11" t="inlineStr">
        <is>
          <t>2, 3</t>
        </is>
      </c>
      <c r="B23" s="11" t="inlineStr">
        <is>
          <t>Rider details recorded</t>
        </is>
      </c>
      <c r="C23" s="11" t="inlineStr">
        <is>
          <t>Delivery notes item (note)</t>
        </is>
      </c>
      <c r="D23" s="11" t="inlineStr">
        <is>
          <t>Added now (note)</t>
        </is>
      </c>
    </row>
    <row r="24">
      <c r="A24" s="11" t="inlineStr">
        <is>
          <t>2</t>
        </is>
      </c>
      <c r="B24" s="11" t="inlineStr">
        <is>
          <t>Daily cash remitted to main office</t>
        </is>
      </c>
      <c r="C24" s="11" t="inlineStr">
        <is>
          <t>Reports module (totals by payment method)</t>
        </is>
      </c>
      <c r="D24" s="11" t="inlineStr">
        <is>
          <t>Added now (note)</t>
        </is>
      </c>
    </row>
    <row r="25">
      <c r="A25" s="11" t="inlineStr">
        <is>
          <t>3</t>
        </is>
      </c>
      <c r="B25" s="11" t="inlineStr">
        <is>
          <t>Live chat on the website</t>
        </is>
      </c>
      <c r="C25" s="11" t="inlineStr">
        <is>
          <t>Live chat decision</t>
        </is>
      </c>
      <c r="D25" s="11" t="inlineStr">
        <is>
          <t>Covered</t>
        </is>
      </c>
    </row>
    <row r="26">
      <c r="A26" s="11" t="inlineStr">
        <is>
          <t>3, 4</t>
        </is>
      </c>
      <c r="B26" s="11" t="inlineStr">
        <is>
          <t>No third-party payment; QR Ph direct, verified on the spot</t>
        </is>
      </c>
      <c r="C26" s="11" t="inlineStr">
        <is>
          <t>REQ028 QR image</t>
        </is>
      </c>
      <c r="D26" s="11" t="inlineStr">
        <is>
          <t>Covered</t>
        </is>
      </c>
    </row>
    <row r="27">
      <c r="A27" s="11" t="inlineStr">
        <is>
          <t>3</t>
        </is>
      </c>
      <c r="B27" s="11" t="inlineStr">
        <is>
          <t>Wrong item delivered: exchange, no refund; no cancellation after payment; failed-delivery fees on customer</t>
        </is>
      </c>
      <c r="C27" s="11" t="inlineStr">
        <is>
          <t>Terms rewrite</t>
        </is>
      </c>
      <c r="D27" s="11" t="inlineStr">
        <is>
          <t>Added now</t>
        </is>
      </c>
    </row>
    <row r="28">
      <c r="A28" s="11" t="inlineStr">
        <is>
          <t>4</t>
        </is>
      </c>
      <c r="B28" s="11" t="inlineStr">
        <is>
          <t>Report export must look like the client's sample</t>
        </is>
      </c>
      <c r="C28" s="11" t="inlineStr">
        <is>
          <t>Client item; Reports module</t>
        </is>
      </c>
      <c r="D28" s="11" t="inlineStr">
        <is>
          <t>Covered</t>
        </is>
      </c>
    </row>
    <row r="29">
      <c r="A29" s="11" t="inlineStr">
        <is>
          <t>4</t>
        </is>
      </c>
      <c r="B29" s="11" t="inlineStr">
        <is>
          <t>Export the dashboard</t>
        </is>
      </c>
      <c r="C29" s="11" t="inlineStr">
        <is>
          <t>Reports module (Dashboard Export button)</t>
        </is>
      </c>
      <c r="D29" s="11" t="inlineStr">
        <is>
          <t>Covered</t>
        </is>
      </c>
    </row>
    <row r="30">
      <c r="A30" s="11" t="inlineStr">
        <is>
          <t>4</t>
        </is>
      </c>
      <c r="B30" s="11" t="inlineStr">
        <is>
          <t>See history of what came from each supplier</t>
        </is>
      </c>
      <c r="C30" s="11" t="inlineStr">
        <is>
          <t>Supplier history item</t>
        </is>
      </c>
      <c r="D30" s="11" t="inlineStr">
        <is>
          <t>Added now</t>
        </is>
      </c>
    </row>
    <row r="31">
      <c r="A31" s="11" t="inlineStr">
        <is>
          <t>4</t>
        </is>
      </c>
      <c r="B31" s="11" t="inlineStr">
        <is>
          <t>See wholesale permit expiry</t>
        </is>
      </c>
      <c r="C31" s="11" t="inlineStr">
        <is>
          <t>REQ086</t>
        </is>
      </c>
      <c r="D31" s="11" t="inlineStr">
        <is>
          <t>Covered</t>
        </is>
      </c>
    </row>
    <row r="32">
      <c r="A32" s="11" t="inlineStr">
        <is>
          <t>4</t>
        </is>
      </c>
      <c r="B32" s="11" t="inlineStr">
        <is>
          <t>Audit log shows who added stock/products</t>
        </is>
      </c>
      <c r="C32" s="11" t="inlineStr">
        <is>
          <t>REQ122 completeness</t>
        </is>
      </c>
      <c r="D32" s="11" t="inlineStr">
        <is>
          <t>Covered</t>
        </is>
      </c>
    </row>
    <row r="33">
      <c r="A33" s="11" t="inlineStr">
        <is>
          <t>4</t>
        </is>
      </c>
      <c r="B33" s="11" t="inlineStr">
        <is>
          <t>Void restricted: a second person must see it</t>
        </is>
      </c>
      <c r="C33" s="11" t="inlineStr">
        <is>
          <t>Walk-in void item (note)</t>
        </is>
      </c>
      <c r="D33" s="11" t="inlineStr">
        <is>
          <t>Added now (note)</t>
        </is>
      </c>
    </row>
    <row r="34">
      <c r="A34" s="11" t="inlineStr">
        <is>
          <t>4</t>
        </is>
      </c>
      <c r="B34" s="11" t="inlineStr">
        <is>
          <t>Hands-on before go-live</t>
        </is>
      </c>
      <c r="C34" s="11" t="inlineStr">
        <is>
          <t>User manual + training item</t>
        </is>
      </c>
      <c r="D34" s="11" t="inlineStr">
        <is>
          <t>Added now</t>
        </is>
      </c>
    </row>
  </sheetData>
  <autoFilter ref="A1:D3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90" customWidth="1" min="3" max="3"/>
    <col width="12" customWidth="1" min="4" max="4"/>
    <col width="10" customWidth="1" min="5" max="5"/>
    <col width="8" customWidth="1" min="6" max="6"/>
  </cols>
  <sheetData>
    <row r="1">
      <c r="A1" s="10" t="inlineStr">
        <is>
          <t>Section</t>
        </is>
      </c>
      <c r="B1" s="10" t="inlineStr">
        <is>
          <t>Page</t>
        </is>
      </c>
      <c r="C1" s="10" t="inlineStr">
        <is>
          <t>Item</t>
        </is>
      </c>
      <c r="D1" s="10" t="inlineStr">
        <is>
          <t>Area</t>
        </is>
      </c>
      <c r="E1" s="10" t="inlineStr">
        <is>
          <t>Defense risk</t>
        </is>
      </c>
      <c r="F1" s="10" t="inlineStr">
        <is>
          <t>Effort</t>
        </is>
      </c>
    </row>
    <row r="2">
      <c r="A2" s="11" t="inlineStr">
        <is>
          <t>Title page / cover</t>
        </is>
      </c>
      <c r="B2" s="11" t="inlineStr">
        <is>
          <t>i</t>
        </is>
      </c>
      <c r="C2" s="11" t="inlineStr">
        <is>
          <t>Still labelled 'Capstone Project Proposal' dated May 16, 2026; update the label and date for the final manuscript.</t>
        </is>
      </c>
      <c r="D2" s="11" t="inlineStr">
        <is>
          <t>Paper</t>
        </is>
      </c>
      <c r="E2" s="11" t="inlineStr">
        <is>
          <t>Med</t>
        </is>
      </c>
      <c r="F2" s="11" t="inlineStr">
        <is>
          <t>S</t>
        </is>
      </c>
    </row>
    <row r="3">
      <c r="A3" s="11" t="inlineStr">
        <is>
          <t>Title</t>
        </is>
      </c>
      <c r="B3" s="11" t="inlineStr">
        <is>
          <t>i</t>
        </is>
      </c>
      <c r="C3" s="11" t="inlineStr">
        <is>
          <t>'Integrated Real-Time Expiry Monitoring': near-expiry stock is only flagged when the Inventory page opens (REQ066). Fix the system so the title holds (To-Do: REQ066 item).</t>
        </is>
      </c>
      <c r="D3" s="11" t="inlineStr">
        <is>
          <t>System</t>
        </is>
      </c>
      <c r="E3" s="11" t="inlineStr">
        <is>
          <t>High</t>
        </is>
      </c>
      <c r="F3" s="11" t="inlineStr">
        <is>
          <t>-</t>
        </is>
      </c>
    </row>
    <row r="4">
      <c r="A4" s="11" t="inlineStr">
        <is>
          <t>Whole paper</t>
        </is>
      </c>
      <c r="B4" s="11" t="inlineStr">
        <is>
          <t>-</t>
        </is>
      </c>
      <c r="C4" s="11" t="inlineStr">
        <is>
          <t>About 100 'will ...' sentences are written as a proposal. Ask the adviser whether the final manuscript should switch to past/present tense, then convert.</t>
        </is>
      </c>
      <c r="D4" s="11" t="inlineStr">
        <is>
          <t>Paper</t>
        </is>
      </c>
      <c r="E4" s="11" t="inlineStr">
        <is>
          <t>Med</t>
        </is>
      </c>
      <c r="F4" s="11" t="inlineStr">
        <is>
          <t>M</t>
        </is>
      </c>
    </row>
    <row r="5">
      <c r="A5" s="11" t="inlineStr">
        <is>
          <t>Whole paper</t>
        </is>
      </c>
      <c r="B5" s="11" t="inlineStr">
        <is>
          <t>-</t>
        </is>
      </c>
      <c r="C5" s="11" t="inlineStr">
        <is>
          <t>Spelling consistency: 'Fulfilment' on the cover vs 'fulfillment' elsewhere.</t>
        </is>
      </c>
      <c r="D5" s="11" t="inlineStr">
        <is>
          <t>Paper</t>
        </is>
      </c>
      <c r="E5" s="11" t="inlineStr">
        <is>
          <t>Low</t>
        </is>
      </c>
      <c r="F5" s="11" t="inlineStr">
        <is>
          <t>S</t>
        </is>
      </c>
    </row>
    <row r="6">
      <c r="A6" s="11" t="inlineStr">
        <is>
          <t>Whole paper + system</t>
        </is>
      </c>
      <c r="B6" s="11" t="inlineStr">
        <is>
          <t>-</t>
        </is>
      </c>
      <c r="C6" s="11" t="inlineStr">
        <is>
          <t>'QR PH' in the paper and most screens, 'QR Ph' on the payment page image text. The official name is 'QR Ph'; pick one everywhere.</t>
        </is>
      </c>
      <c r="D6" s="11" t="inlineStr">
        <is>
          <t>Both</t>
        </is>
      </c>
      <c r="E6" s="11" t="inlineStr">
        <is>
          <t>Low</t>
        </is>
      </c>
      <c r="F6" s="11" t="inlineStr">
        <is>
          <t>S</t>
        </is>
      </c>
    </row>
    <row r="7">
      <c r="A7" s="11" t="inlineStr">
        <is>
          <t>Project Context</t>
        </is>
      </c>
      <c r="B7" s="11" t="inlineStr">
        <is>
          <t>p.1</t>
        </is>
      </c>
      <c r="C7" s="11" t="inlineStr">
        <is>
          <t>Says the old POS couldn't print batch numbers, expiration dates or supplier details on receipts. The new receipts don't show them either; add batch/expiry to receipts and reports, or soften the sentence.</t>
        </is>
      </c>
      <c r="D7" s="11" t="inlineStr">
        <is>
          <t>System</t>
        </is>
      </c>
      <c r="E7" s="11" t="inlineStr">
        <is>
          <t>Med</t>
        </is>
      </c>
      <c r="F7" s="11" t="inlineStr">
        <is>
          <t>S</t>
        </is>
      </c>
    </row>
    <row r="8">
      <c r="A8" s="11" t="inlineStr">
        <is>
          <t>Project Context / Purpose</t>
        </is>
      </c>
      <c r="B8" s="11" t="inlineStr">
        <is>
          <t>p.2-4</t>
        </is>
      </c>
      <c r="C8" s="11" t="inlineStr">
        <is>
          <t>AI chat 'addresses inquiries at any hour': depends on the live chat decision.</t>
        </is>
      </c>
      <c r="D8" s="11" t="inlineStr">
        <is>
          <t>Decision</t>
        </is>
      </c>
      <c r="E8" s="11" t="inlineStr">
        <is>
          <t>High</t>
        </is>
      </c>
      <c r="F8" s="11" t="inlineStr">
        <is>
          <t>-</t>
        </is>
      </c>
    </row>
    <row r="9">
      <c r="A9" s="11" t="inlineStr">
        <is>
          <t>Purpose and Description</t>
        </is>
      </c>
      <c r="B9" s="11" t="inlineStr">
        <is>
          <t>p.3</t>
        </is>
      </c>
      <c r="C9" s="11" t="inlineStr">
        <is>
          <t>'Each completed transaction ... made available for printing and reporting': needs receipt printing and the Reports module.</t>
        </is>
      </c>
      <c r="D9" s="11" t="inlineStr">
        <is>
          <t>System</t>
        </is>
      </c>
      <c r="E9" s="11" t="inlineStr">
        <is>
          <t>High</t>
        </is>
      </c>
      <c r="F9" s="11" t="inlineStr">
        <is>
          <t>-</t>
        </is>
      </c>
    </row>
    <row r="10">
      <c r="A10" s="11" t="inlineStr">
        <is>
          <t>Objectives</t>
        </is>
      </c>
      <c r="B10" s="11" t="inlineStr">
        <is>
          <t>p.5</t>
        </is>
      </c>
      <c r="C10" s="11" t="inlineStr">
        <is>
          <t>Obj. 1 promises AI chat support (live chat decision). Obj. 2 promises auto-removal of near-expiry stock (REQ066 fix). Obj. 3 promises exportable daily/monthly reports with batch + expiry (Reports module).</t>
        </is>
      </c>
      <c r="D10" s="11" t="inlineStr">
        <is>
          <t>Both</t>
        </is>
      </c>
      <c r="E10" s="11" t="inlineStr">
        <is>
          <t>High</t>
        </is>
      </c>
      <c r="F10" s="11" t="inlineStr">
        <is>
          <t>-</t>
        </is>
      </c>
    </row>
    <row r="11">
      <c r="A11" s="11" t="inlineStr">
        <is>
          <t>Objectives / evaluation</t>
        </is>
      </c>
      <c r="B11" s="11" t="inlineStr">
        <is>
          <t>p.5-6, 21-24</t>
        </is>
      </c>
      <c r="C11" s="11" t="inlineStr">
        <is>
          <t>Obj. 4 evaluates with TAM + ISO/IEC 25010, but there is no questionnaire, respondent group, sampling, scale, or statistical treatment yet. The final paper needs the instrument and a results chapter.</t>
        </is>
      </c>
      <c r="D11" s="11" t="inlineStr">
        <is>
          <t>Paper</t>
        </is>
      </c>
      <c r="E11" s="11" t="inlineStr">
        <is>
          <t>High</t>
        </is>
      </c>
      <c r="F11" s="11" t="inlineStr">
        <is>
          <t>L</t>
        </is>
      </c>
    </row>
    <row r="12">
      <c r="A12" s="11" t="inlineStr">
        <is>
          <t>Scope</t>
        </is>
      </c>
      <c r="B12" s="11" t="inlineStr">
        <is>
          <t>p.6</t>
        </is>
      </c>
      <c r="C12" s="11" t="inlineStr">
        <is>
          <t>'Intended to serve retail customers, wholesale clients, branch staff, and main office management': wholesale clients and the main office never log in. Reword to 'staff record wholesale transactions; reports are submitted to the main office'.</t>
        </is>
      </c>
      <c r="D12" s="11" t="inlineStr">
        <is>
          <t>Paper</t>
        </is>
      </c>
      <c r="E12" s="11" t="inlineStr">
        <is>
          <t>Low</t>
        </is>
      </c>
      <c r="F12" s="11" t="inlineStr">
        <is>
          <t>S</t>
        </is>
      </c>
    </row>
    <row r="13">
      <c r="A13" s="11" t="inlineStr">
        <is>
          <t>Scope</t>
        </is>
      </c>
      <c r="B13" s="11" t="inlineStr">
        <is>
          <t>p.7</t>
        </is>
      </c>
      <c r="C13" s="11" t="inlineStr">
        <is>
          <t>'Automated daily sales and inventory reports are generated': depends on the Reports module.</t>
        </is>
      </c>
      <c r="D13" s="11" t="inlineStr">
        <is>
          <t>System</t>
        </is>
      </c>
      <c r="E13" s="11" t="inlineStr">
        <is>
          <t>High</t>
        </is>
      </c>
      <c r="F13" s="11" t="inlineStr">
        <is>
          <t>-</t>
        </is>
      </c>
    </row>
    <row r="14">
      <c r="A14" s="11" t="inlineStr">
        <is>
          <t>Scope</t>
        </is>
      </c>
      <c r="B14" s="11" t="inlineStr">
        <is>
          <t>p.7</t>
        </is>
      </c>
      <c r="C14" s="11" t="inlineStr">
        <is>
          <t>AI live chat bullet: live chat decision.</t>
        </is>
      </c>
      <c r="D14" s="11" t="inlineStr">
        <is>
          <t>Decision</t>
        </is>
      </c>
      <c r="E14" s="11" t="inlineStr">
        <is>
          <t>High</t>
        </is>
      </c>
      <c r="F14" s="11" t="inlineStr">
        <is>
          <t>-</t>
        </is>
      </c>
    </row>
    <row r="15">
      <c r="A15" s="11" t="inlineStr">
        <is>
          <t>Limitations</t>
        </is>
      </c>
      <c r="B15" s="11" t="inlineStr">
        <is>
          <t>p.7</t>
        </is>
      </c>
      <c r="C15" s="11" t="inlineStr">
        <is>
          <t>'Retail item exchanges ... coordinated through live chat': if chat is cut, change this to phone/Messenger.</t>
        </is>
      </c>
      <c r="D15" s="11" t="inlineStr">
        <is>
          <t>Decision</t>
        </is>
      </c>
      <c r="E15" s="11" t="inlineStr">
        <is>
          <t>Med</t>
        </is>
      </c>
      <c r="F15" s="11" t="inlineStr">
        <is>
          <t>S</t>
        </is>
      </c>
    </row>
    <row r="16">
      <c r="A16" s="11" t="inlineStr">
        <is>
          <t>Limitations</t>
        </is>
      </c>
      <c r="B16" s="11" t="inlineStr">
        <is>
          <t>p.7</t>
        </is>
      </c>
      <c r="C16" s="11" t="inlineStr">
        <is>
          <t>Add new limitations if decided: hosting/deployment, live chat/AI, real-time refresh, OpenAI cost.</t>
        </is>
      </c>
      <c r="D16" s="11" t="inlineStr">
        <is>
          <t>Decision</t>
        </is>
      </c>
      <c r="E16" s="11" t="inlineStr">
        <is>
          <t>Med</t>
        </is>
      </c>
      <c r="F16" s="11" t="inlineStr">
        <is>
          <t>S</t>
        </is>
      </c>
    </row>
    <row r="17">
      <c r="A17" s="11" t="inlineStr">
        <is>
          <t>Comparative Analysis</t>
        </is>
      </c>
      <c r="B17" s="11" t="inlineStr">
        <is>
          <t>p.18</t>
        </is>
      </c>
      <c r="C17" s="11" t="inlineStr">
        <is>
          <t>The three compared systems are named but not cited in that section: J1TEK = Binag et al. (2024), Online Transporter = Llorente et al. (2022), Bandung FEFO = Malasari &amp; Sudrajat (2023). Binag and Llorente are in the reference list but cited nowhere in the text.</t>
        </is>
      </c>
      <c r="D17" s="11" t="inlineStr">
        <is>
          <t>Paper</t>
        </is>
      </c>
      <c r="E17" s="11" t="inlineStr">
        <is>
          <t>Med</t>
        </is>
      </c>
      <c r="F17" s="11" t="inlineStr">
        <is>
          <t>S</t>
        </is>
      </c>
    </row>
    <row r="18">
      <c r="A18" s="11" t="inlineStr">
        <is>
          <t>Comparative Analysis</t>
        </is>
      </c>
      <c r="B18" s="11" t="inlineStr">
        <is>
          <t>p.18</t>
        </is>
      </c>
      <c r="C18" s="11" t="inlineStr">
        <is>
          <t>The proposed system gets a tick for 'AI-powered live chat'; keep only if chat is built.</t>
        </is>
      </c>
      <c r="D18" s="11" t="inlineStr">
        <is>
          <t>Decision</t>
        </is>
      </c>
      <c r="E18" s="11" t="inlineStr">
        <is>
          <t>High</t>
        </is>
      </c>
      <c r="F18" s="11" t="inlineStr">
        <is>
          <t>S</t>
        </is>
      </c>
    </row>
    <row r="19">
      <c r="A19" s="11" t="inlineStr">
        <is>
          <t>Theoretical Framework</t>
        </is>
      </c>
      <c r="B19" s="11" t="inlineStr">
        <is>
          <t>p.22-23</t>
        </is>
      </c>
      <c r="C19" s="11" t="inlineStr">
        <is>
          <t>Mentions 'instantaneous push notifications for near-expiry supplies'; the system has an in-app notification bell, not push notifications. Reword.</t>
        </is>
      </c>
      <c r="D19" s="11" t="inlineStr">
        <is>
          <t>Paper</t>
        </is>
      </c>
      <c r="E19" s="11" t="inlineStr">
        <is>
          <t>Low</t>
        </is>
      </c>
      <c r="F19" s="11" t="inlineStr">
        <is>
          <t>S</t>
        </is>
      </c>
    </row>
    <row r="20">
      <c r="A20" s="11" t="inlineStr">
        <is>
          <t>Theoretical Framework</t>
        </is>
      </c>
      <c r="B20" s="11" t="inlineStr">
        <is>
          <t>p.24</t>
        </is>
      </c>
      <c r="C20" s="11" t="inlineStr">
        <is>
          <t>'Only authorized branch managers can ... override automated inventory counts': needs the REQ061 fix (Branch Manager-only reconciliation finalize).</t>
        </is>
      </c>
      <c r="D20" s="11" t="inlineStr">
        <is>
          <t>System</t>
        </is>
      </c>
      <c r="E20" s="11" t="inlineStr">
        <is>
          <t>Med</t>
        </is>
      </c>
      <c r="F20" s="11" t="inlineStr">
        <is>
          <t>S</t>
        </is>
      </c>
    </row>
    <row r="21">
      <c r="A21" s="11" t="inlineStr">
        <is>
          <t>Conceptual Framework (Input)</t>
        </is>
      </c>
      <c r="B21" s="11" t="inlineStr">
        <is>
          <t>p.25</t>
        </is>
      </c>
      <c r="C21" s="11" t="inlineStr">
        <is>
          <t>Says wholesale buyers' info is captured during account registration and that wholesale purchase orders are submitted through the platform. Wholesale buyers don't register or order online; staff record them.</t>
        </is>
      </c>
      <c r="D21" s="11" t="inlineStr">
        <is>
          <t>Paper</t>
        </is>
      </c>
      <c r="E21" s="11" t="inlineStr">
        <is>
          <t>Med</t>
        </is>
      </c>
      <c r="F21" s="11" t="inlineStr">
        <is>
          <t>S</t>
        </is>
      </c>
    </row>
    <row r="22">
      <c r="A22" s="11" t="inlineStr">
        <is>
          <t>Conceptual Framework (Output)</t>
        </is>
      </c>
      <c r="B22" s="11" t="inlineStr">
        <is>
          <t>p.27</t>
        </is>
      </c>
      <c r="C22" s="11" t="inlineStr">
        <is>
          <t>'Terms and Conditions remain available throughout the session': footer Privacy/Terms links are dead. Link them to the existing legal text.</t>
        </is>
      </c>
      <c r="D22" s="11" t="inlineStr">
        <is>
          <t>System</t>
        </is>
      </c>
      <c r="E22" s="11" t="inlineStr">
        <is>
          <t>Med</t>
        </is>
      </c>
      <c r="F22" s="11" t="inlineStr">
        <is>
          <t>S</t>
        </is>
      </c>
    </row>
    <row r="23">
      <c r="A23" s="11" t="inlineStr">
        <is>
          <t>Methodology: sprint plan</t>
        </is>
      </c>
      <c r="B23" s="11" t="inlineStr">
        <is>
          <t>p.32</t>
        </is>
      </c>
      <c r="C23" s="11" t="inlineStr">
        <is>
          <t>Phase 4 (customer side) lists the 'one-click copy feature for delivery details' under My Orders; that's an admin Delivery feature (also listed in Phase 6). Remove it from Phase 4.</t>
        </is>
      </c>
      <c r="D23" s="11" t="inlineStr">
        <is>
          <t>Paper</t>
        </is>
      </c>
      <c r="E23" s="11" t="inlineStr">
        <is>
          <t>Low</t>
        </is>
      </c>
      <c r="F23" s="11" t="inlineStr">
        <is>
          <t>S</t>
        </is>
      </c>
    </row>
    <row r="24">
      <c r="A24" s="11" t="inlineStr">
        <is>
          <t>Methodology: sprint plan</t>
        </is>
      </c>
      <c r="B24" s="11" t="inlineStr">
        <is>
          <t>p.30-35</t>
        </is>
      </c>
      <c r="C24" s="11" t="inlineStr">
        <is>
          <t>Phases promise features that aren't built (device OTP, notifications by email, thermal printing, live chat, reports). Align with final decisions.</t>
        </is>
      </c>
      <c r="D24" s="11" t="inlineStr">
        <is>
          <t>Paper</t>
        </is>
      </c>
      <c r="E24" s="11" t="inlineStr">
        <is>
          <t>Med</t>
        </is>
      </c>
      <c r="F24" s="11" t="inlineStr">
        <is>
          <t>S</t>
        </is>
      </c>
    </row>
    <row r="25">
      <c r="A25" s="11" t="inlineStr">
        <is>
          <t>Methodology: Deployment</t>
        </is>
      </c>
      <c r="B25" s="11" t="inlineStr">
        <is>
          <t>p.30</t>
        </is>
      </c>
      <c r="C25" s="11" t="inlineStr">
        <is>
          <t>'Deployed in a controlled environment using actual client data': not done yet. Decide hosting, then either do it or reword.</t>
        </is>
      </c>
      <c r="D25" s="11" t="inlineStr">
        <is>
          <t>Decision</t>
        </is>
      </c>
      <c r="E25" s="11" t="inlineStr">
        <is>
          <t>Med</t>
        </is>
      </c>
      <c r="F25" s="11" t="inlineStr">
        <is>
          <t>-</t>
        </is>
      </c>
    </row>
    <row r="26">
      <c r="A26" s="11" t="inlineStr">
        <is>
          <t>Technical Background</t>
        </is>
      </c>
      <c r="B26" s="11" t="inlineStr">
        <is>
          <t>p.35</t>
        </is>
      </c>
      <c r="C26" s="11" t="inlineStr">
        <is>
          <t>Say 'Cloud Firestore' instead of 'real-time database', and Cloudinary instead of Firebase cloud storage for images.</t>
        </is>
      </c>
      <c r="D26" s="11" t="inlineStr">
        <is>
          <t>Paper</t>
        </is>
      </c>
      <c r="E26" s="11" t="inlineStr">
        <is>
          <t>Low</t>
        </is>
      </c>
      <c r="F26" s="11" t="inlineStr">
        <is>
          <t>S</t>
        </is>
      </c>
    </row>
    <row r="27">
      <c r="A27" s="11" t="inlineStr">
        <is>
          <t>Technical Background</t>
        </is>
      </c>
      <c r="B27" s="11" t="inlineStr">
        <is>
          <t>p.35-36</t>
        </is>
      </c>
      <c r="C27" s="11" t="inlineStr">
        <is>
          <t>EmailJS listed for order confirmations and password reset links: password reset is Firebase Auth; order emails depend on REQ039.</t>
        </is>
      </c>
      <c r="D27" s="11" t="inlineStr">
        <is>
          <t>Paper</t>
        </is>
      </c>
      <c r="E27" s="11" t="inlineStr">
        <is>
          <t>Low</t>
        </is>
      </c>
      <c r="F27" s="11" t="inlineStr">
        <is>
          <t>S</t>
        </is>
      </c>
    </row>
    <row r="28">
      <c r="A28" s="11" t="inlineStr">
        <is>
          <t>Technical Background</t>
        </is>
      </c>
      <c r="B28" s="11" t="inlineStr">
        <is>
          <t>p.35-36</t>
        </is>
      </c>
      <c r="C28" s="11" t="inlineStr">
        <is>
          <t>Chart.js listed for 'inventory movement data': dashboard charts are sales only (inventory uses count tiles). Reword or add an inventory chart.</t>
        </is>
      </c>
      <c r="D28" s="11" t="inlineStr">
        <is>
          <t>Paper</t>
        </is>
      </c>
      <c r="E28" s="11" t="inlineStr">
        <is>
          <t>Low</t>
        </is>
      </c>
      <c r="F28" s="11" t="inlineStr">
        <is>
          <t>S</t>
        </is>
      </c>
    </row>
    <row r="29">
      <c r="A29" s="11" t="inlineStr">
        <is>
          <t>Technical Background</t>
        </is>
      </c>
      <c r="B29" s="11" t="inlineStr">
        <is>
          <t>p.35, 37</t>
        </is>
      </c>
      <c r="C29" s="11" t="inlineStr">
        <is>
          <t>DataTable listed; tables are custom-built. Remove or reword.</t>
        </is>
      </c>
      <c r="D29" s="11" t="inlineStr">
        <is>
          <t>Paper</t>
        </is>
      </c>
      <c r="E29" s="11" t="inlineStr">
        <is>
          <t>Low</t>
        </is>
      </c>
      <c r="F29" s="11" t="inlineStr">
        <is>
          <t>S</t>
        </is>
      </c>
    </row>
    <row r="30">
      <c r="A30" s="11" t="inlineStr">
        <is>
          <t>Technical Background</t>
        </is>
      </c>
      <c r="B30" s="11" t="inlineStr">
        <is>
          <t>p.35, 37</t>
        </is>
      </c>
      <c r="C30" s="11" t="inlineStr">
        <is>
          <t>Netlify listed for hosting with continuous integration; nothing is deployed (Netlify blocked by billing). Depends on the hosting decision.</t>
        </is>
      </c>
      <c r="D30" s="11" t="inlineStr">
        <is>
          <t>Decision</t>
        </is>
      </c>
      <c r="E30" s="11" t="inlineStr">
        <is>
          <t>Med</t>
        </is>
      </c>
      <c r="F30" s="11" t="inlineStr">
        <is>
          <t>S</t>
        </is>
      </c>
    </row>
    <row r="31">
      <c r="A31" s="11" t="inlineStr">
        <is>
          <t>Technical Background: Software</t>
        </is>
      </c>
      <c r="B31" s="11" t="inlineStr">
        <is>
          <t>p.36-38</t>
        </is>
      </c>
      <c r="C31" s="11" t="inlineStr">
        <is>
          <t>Missing tools actually used: Cloudinary (images), Choices.js (searchable dropdowns), Bootstrap Icons, Google Fonts (Roboto), Git/GitHub (version control), Node.js http-server (local serving).</t>
        </is>
      </c>
      <c r="D31" s="11" t="inlineStr">
        <is>
          <t>Paper</t>
        </is>
      </c>
      <c r="E31" s="11" t="inlineStr">
        <is>
          <t>Low</t>
        </is>
      </c>
      <c r="F31" s="11" t="inlineStr">
        <is>
          <t>S</t>
        </is>
      </c>
    </row>
    <row r="32">
      <c r="A32" s="11" t="inlineStr">
        <is>
          <t>Technical Background: Software</t>
        </is>
      </c>
      <c r="B32" s="11" t="inlineStr">
        <is>
          <t>p.38</t>
        </is>
      </c>
      <c r="C32" s="11" t="inlineStr">
        <is>
          <t>Canva is listed for mockups, but the Gantt chart says 'Creation of Figma'. Use one tool name.</t>
        </is>
      </c>
      <c r="D32" s="11" t="inlineStr">
        <is>
          <t>Paper</t>
        </is>
      </c>
      <c r="E32" s="11" t="inlineStr">
        <is>
          <t>Low</t>
        </is>
      </c>
      <c r="F32" s="11" t="inlineStr">
        <is>
          <t>S</t>
        </is>
      </c>
    </row>
    <row r="33">
      <c r="A33" s="11" t="inlineStr">
        <is>
          <t>Technical Background</t>
        </is>
      </c>
      <c r="B33" s="11" t="inlineStr">
        <is>
          <t>p.35</t>
        </is>
      </c>
      <c r="C33" s="11" t="inlineStr">
        <is>
          <t>States the AI assistant won't give medical advice: keep only if chat is built.</t>
        </is>
      </c>
      <c r="D33" s="11" t="inlineStr">
        <is>
          <t>Decision</t>
        </is>
      </c>
      <c r="E33" s="11" t="inlineStr">
        <is>
          <t>Low</t>
        </is>
      </c>
      <c r="F33" s="11" t="inlineStr">
        <is>
          <t>S</t>
        </is>
      </c>
    </row>
    <row r="34">
      <c r="A34" s="11" t="inlineStr">
        <is>
          <t>Modules: Staff roles</t>
        </is>
      </c>
      <c r="B34" s="11" t="inlineStr">
        <is>
          <t>p.45-46</t>
        </is>
      </c>
      <c r="C34" s="11" t="inlineStr">
        <is>
          <t>Lists 'void authorization' for Branch Manager and Technical Staff: needs the void feature. 'Sales Staff: product catalog viewing only': see REQ121 decision.</t>
        </is>
      </c>
      <c r="D34" s="11" t="inlineStr">
        <is>
          <t>Both</t>
        </is>
      </c>
      <c r="E34" s="11" t="inlineStr">
        <is>
          <t>Med</t>
        </is>
      </c>
      <c r="F34" s="11" t="inlineStr">
        <is>
          <t>S</t>
        </is>
      </c>
    </row>
    <row r="35">
      <c r="A35" s="11" t="inlineStr">
        <is>
          <t>Modules: Price Management</t>
        </is>
      </c>
      <c r="B35" s="11" t="inlineStr">
        <is>
          <t>p.42</t>
        </is>
      </c>
      <c r="C35" s="11" t="inlineStr">
        <is>
          <t>'Allows price locking': the lock is the Branch Manager-only rule (no separate lock switch). Reword, or add a lock toggle.</t>
        </is>
      </c>
      <c r="D35" s="11" t="inlineStr">
        <is>
          <t>Paper</t>
        </is>
      </c>
      <c r="E35" s="11" t="inlineStr">
        <is>
          <t>Low</t>
        </is>
      </c>
      <c r="F35" s="11" t="inlineStr">
        <is>
          <t>S</t>
        </is>
      </c>
    </row>
    <row r="36">
      <c r="A36" s="11" t="inlineStr">
        <is>
          <t>System roles</t>
        </is>
      </c>
      <c r="B36" s="11" t="inlineStr">
        <is>
          <t>-</t>
        </is>
      </c>
      <c r="C36" s="11" t="inlineStr">
        <is>
          <t>The system also has a legacy 'Administrator' role that the paper never mentions. Hide it from the UI or document it.</t>
        </is>
      </c>
      <c r="D36" s="11" t="inlineStr">
        <is>
          <t>System</t>
        </is>
      </c>
      <c r="E36" s="11" t="inlineStr">
        <is>
          <t>Low</t>
        </is>
      </c>
      <c r="F36" s="11" t="inlineStr">
        <is>
          <t>S</t>
        </is>
      </c>
    </row>
    <row r="37">
      <c r="A37" s="11" t="inlineStr">
        <is>
          <t>Wireframes (Figs 2.16-2.21)</t>
        </is>
      </c>
      <c r="B37" s="11" t="inlineStr">
        <is>
          <t>p.92-95</t>
        </is>
      </c>
      <c r="C37" s="11" t="inlineStr">
        <is>
          <t>Not compared yet. Replace with real screenshots, or keep them labelled as early wireframes.</t>
        </is>
      </c>
      <c r="D37" s="11" t="inlineStr">
        <is>
          <t>Paper</t>
        </is>
      </c>
      <c r="E37" s="11" t="inlineStr">
        <is>
          <t>Low</t>
        </is>
      </c>
      <c r="F37" s="11" t="inlineStr">
        <is>
          <t>S</t>
        </is>
      </c>
    </row>
    <row r="38">
      <c r="A38" s="11" t="inlineStr">
        <is>
          <t>Calendar of Activities</t>
        </is>
      </c>
      <c r="B38" s="11" t="inlineStr">
        <is>
          <t>p.96-98</t>
        </is>
      </c>
      <c r="C38" s="11" t="inlineStr">
        <is>
          <t>Lists a 'Fifth Interview', but the appendices only have four transcripts (J-M). Add the transcript and proof, or remove the row.</t>
        </is>
      </c>
      <c r="D38" s="11" t="inlineStr">
        <is>
          <t>Paper</t>
        </is>
      </c>
      <c r="E38" s="11" t="inlineStr">
        <is>
          <t>Med</t>
        </is>
      </c>
      <c r="F38" s="11" t="inlineStr">
        <is>
          <t>S</t>
        </is>
      </c>
    </row>
    <row r="39">
      <c r="A39" s="11" t="inlineStr">
        <is>
          <t>Calendar of Activities</t>
        </is>
      </c>
      <c r="B39" s="11" t="inlineStr">
        <is>
          <t>p.96-98</t>
        </is>
      </c>
      <c r="C39" s="11" t="inlineStr">
        <is>
          <t>Month header has no year. Update the bars to actual dates. The webapp branch history starts 2026-08-31 (earlier work isn't in this git history), so the team needs to fill earlier dates.</t>
        </is>
      </c>
      <c r="D39" s="11" t="inlineStr">
        <is>
          <t>Paper</t>
        </is>
      </c>
      <c r="E39" s="11" t="inlineStr">
        <is>
          <t>Med</t>
        </is>
      </c>
      <c r="F39" s="11" t="inlineStr">
        <is>
          <t>S</t>
        </is>
      </c>
    </row>
    <row r="40">
      <c r="A40" s="11" t="inlineStr">
        <is>
          <t>Calendar of Activities</t>
        </is>
      </c>
      <c r="B40" s="11" t="inlineStr">
        <is>
          <t>p.97-98</t>
        </is>
      </c>
      <c r="C40" s="11" t="inlineStr">
        <is>
          <t>Add rows for work actually done (POS, inventory, payment verification, wholesale, reports, testing) and mark 'System Deployment' per the hosting decision.</t>
        </is>
      </c>
      <c r="D40" s="11" t="inlineStr">
        <is>
          <t>Paper</t>
        </is>
      </c>
      <c r="E40" s="11" t="inlineStr">
        <is>
          <t>Low</t>
        </is>
      </c>
      <c r="F40" s="11" t="inlineStr">
        <is>
          <t>S</t>
        </is>
      </c>
    </row>
    <row r="41">
      <c r="A41" s="11" t="inlineStr">
        <is>
          <t>Budgetary Estimate</t>
        </is>
      </c>
      <c r="B41" s="11" t="inlineStr">
        <is>
          <t>p.99</t>
        </is>
      </c>
      <c r="C41" s="11" t="inlineStr">
        <is>
          <t>Total ₱31,790.08 checks out. Missing: Cloudinary (free), OpenAI API (pay-per-use, if chat is built), thermal printer (if printing is in scope).</t>
        </is>
      </c>
      <c r="D41" s="11" t="inlineStr">
        <is>
          <t>Paper</t>
        </is>
      </c>
      <c r="E41" s="11" t="inlineStr">
        <is>
          <t>Low</t>
        </is>
      </c>
      <c r="F41" s="11" t="inlineStr">
        <is>
          <t>S</t>
        </is>
      </c>
    </row>
    <row r="42">
      <c r="A42" s="11" t="inlineStr">
        <is>
          <t>Budgetary Estimate</t>
        </is>
      </c>
      <c r="B42" s="11" t="inlineStr">
        <is>
          <t>p.99</t>
        </is>
      </c>
      <c r="C42" s="11" t="inlineStr">
        <is>
          <t>Domain name ₱841.08 and Firebase Blaze ₱200: keep only if actually bought/used. Netlify is listed as free, but deployment was blocked by billing; make these consistent.</t>
        </is>
      </c>
      <c r="D42" s="11" t="inlineStr">
        <is>
          <t>Paper</t>
        </is>
      </c>
      <c r="E42" s="11" t="inlineStr">
        <is>
          <t>Low</t>
        </is>
      </c>
      <c r="F42" s="11" t="inlineStr">
        <is>
          <t>S</t>
        </is>
      </c>
    </row>
    <row r="43">
      <c r="A43" s="11" t="inlineStr">
        <is>
          <t>References</t>
        </is>
      </c>
      <c r="B43" s="11" t="inlineStr">
        <is>
          <t>p.100</t>
        </is>
      </c>
      <c r="C43" s="11" t="inlineStr">
        <is>
          <t>Davis reference is written 'Fred D. Davis. (1989)'; APA is 'Davis, F. D. (1989).'</t>
        </is>
      </c>
      <c r="D43" s="11" t="inlineStr">
        <is>
          <t>Paper</t>
        </is>
      </c>
      <c r="E43" s="11" t="inlineStr">
        <is>
          <t>Low</t>
        </is>
      </c>
      <c r="F43" s="11" t="inlineStr">
        <is>
          <t>S</t>
        </is>
      </c>
    </row>
    <row r="44">
      <c r="A44" s="11" t="inlineStr">
        <is>
          <t>References</t>
        </is>
      </c>
      <c r="B44" s="11" t="inlineStr">
        <is>
          <t>p.10 / refs</t>
        </is>
      </c>
      <c r="C44" s="11" t="inlineStr">
        <is>
          <t>'The Generics Pharmacy (TGP) Sumulong Case Study (2024)' is cited without an author; check the APA author/organization format.</t>
        </is>
      </c>
      <c r="D44" s="11" t="inlineStr">
        <is>
          <t>Paper</t>
        </is>
      </c>
      <c r="E44" s="11" t="inlineStr">
        <is>
          <t>Low</t>
        </is>
      </c>
      <c r="F44" s="11" t="inlineStr">
        <is>
          <t>S</t>
        </is>
      </c>
    </row>
    <row r="45">
      <c r="A45" s="11" t="inlineStr">
        <is>
          <t>References</t>
        </is>
      </c>
      <c r="B45" s="11" t="inlineStr">
        <is>
          <t>p.17 / refs</t>
        </is>
      </c>
      <c r="C45" s="11" t="inlineStr">
        <is>
          <t>Sardjono et al. (2023) is described as an Agile-based study, but its listed title is about Track and Trace in Pharma 4.0. Verify the source matches the summary.</t>
        </is>
      </c>
      <c r="D45" s="11" t="inlineStr">
        <is>
          <t>Paper</t>
        </is>
      </c>
      <c r="E45" s="11" t="inlineStr">
        <is>
          <t>Low</t>
        </is>
      </c>
      <c r="F45" s="11" t="inlineStr">
        <is>
          <t>S</t>
        </is>
      </c>
    </row>
    <row r="46">
      <c r="A46" s="11" t="inlineStr">
        <is>
          <t>Appendices</t>
        </is>
      </c>
      <c r="B46" s="11" t="inlineStr">
        <is>
          <t>p.124</t>
        </is>
      </c>
      <c r="C46" s="11" t="inlineStr">
        <is>
          <t>List of Appendices says 'PayMongo Pricing' / 'Lalamove API Instruction'; the appendix pages say 'PayMongo Pricing Limitation' / 'Lalamove API Limitation'. Match titles.</t>
        </is>
      </c>
      <c r="D46" s="11" t="inlineStr">
        <is>
          <t>Paper</t>
        </is>
      </c>
      <c r="E46" s="11" t="inlineStr">
        <is>
          <t>Low</t>
        </is>
      </c>
      <c r="F46" s="11" t="inlineStr">
        <is>
          <t>S</t>
        </is>
      </c>
    </row>
    <row r="47">
      <c r="A47" s="11" t="inlineStr">
        <is>
          <t>Table of Contents / List of Figures</t>
        </is>
      </c>
      <c r="B47" s="11" t="inlineStr">
        <is>
          <t>p.iv-vi</t>
        </is>
      </c>
      <c r="C47" s="11" t="inlineStr">
        <is>
          <t>Regenerate page numbers after all edits.</t>
        </is>
      </c>
      <c r="D47" s="11" t="inlineStr">
        <is>
          <t>Paper</t>
        </is>
      </c>
      <c r="E47" s="11" t="inlineStr">
        <is>
          <t>Low</t>
        </is>
      </c>
      <c r="F47" s="11" t="inlineStr">
        <is>
          <t>S</t>
        </is>
      </c>
    </row>
    <row r="48">
      <c r="A48" s="11" t="inlineStr">
        <is>
          <t>Client items</t>
        </is>
      </c>
      <c r="B48" s="11" t="inlineStr">
        <is>
          <t>-</t>
        </is>
      </c>
      <c r="C48"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D48" s="11" t="inlineStr">
        <is>
          <t>Client</t>
        </is>
      </c>
      <c r="E48" s="11" t="inlineStr">
        <is>
          <t>High</t>
        </is>
      </c>
      <c r="F48" s="11" t="inlineStr">
        <is>
          <t>S</t>
        </is>
      </c>
    </row>
  </sheetData>
  <autoFilter ref="A1:F48"/>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52" customWidth="1" min="2" max="2"/>
    <col width="14" customWidth="1" min="3" max="3"/>
    <col width="46" customWidth="1" min="4" max="4"/>
  </cols>
  <sheetData>
    <row r="1">
      <c r="A1" s="10" t="inlineStr">
        <is>
          <t>Figure</t>
        </is>
      </c>
      <c r="B1" s="10" t="inlineStr">
        <is>
          <t>Title</t>
        </is>
      </c>
      <c r="C1" s="10" t="inlineStr">
        <is>
          <t>Image</t>
        </is>
      </c>
      <c r="D1" s="10" t="inlineStr">
        <is>
          <t>Review</t>
        </is>
      </c>
    </row>
    <row r="2">
      <c r="A2" s="11" t="inlineStr">
        <is>
          <t>2.2</t>
        </is>
      </c>
      <c r="B2" s="11" t="inlineStr">
        <is>
          <t>Overall Use Case Diagram</t>
        </is>
      </c>
      <c r="C2" s="11" t="inlineStr">
        <is>
          <t>Received</t>
        </is>
      </c>
      <c r="D2" s="11" t="inlineStr">
        <is>
          <t>Reviewed</t>
        </is>
      </c>
    </row>
    <row r="3">
      <c r="A3" s="11" t="inlineStr">
        <is>
          <t>2.3</t>
        </is>
      </c>
      <c r="B3" s="11" t="inlineStr">
        <is>
          <t>Use Case: Platform Access and Account Management</t>
        </is>
      </c>
      <c r="C3" s="11" t="inlineStr">
        <is>
          <t>Received</t>
        </is>
      </c>
      <c r="D3" s="11" t="inlineStr">
        <is>
          <t>Reviewed</t>
        </is>
      </c>
    </row>
    <row r="4">
      <c r="A4" s="11" t="inlineStr">
        <is>
          <t>2.4</t>
        </is>
      </c>
      <c r="B4" s="11" t="inlineStr">
        <is>
          <t>Use Case: Customer Ordering and Purchase</t>
        </is>
      </c>
      <c r="C4" s="11" t="inlineStr">
        <is>
          <t>Received</t>
        </is>
      </c>
      <c r="D4" s="11" t="inlineStr">
        <is>
          <t>Reviewed</t>
        </is>
      </c>
    </row>
    <row r="5">
      <c r="A5" s="11" t="inlineStr">
        <is>
          <t>2.5</t>
        </is>
      </c>
      <c r="B5" s="11" t="inlineStr">
        <is>
          <t>Use Case: Inventory Management</t>
        </is>
      </c>
      <c r="C5" s="11" t="inlineStr">
        <is>
          <t>Received</t>
        </is>
      </c>
      <c r="D5" s="11" t="inlineStr">
        <is>
          <t>Reviewed</t>
        </is>
      </c>
    </row>
    <row r="6">
      <c r="A6" s="11" t="inlineStr">
        <is>
          <t>2.6</t>
        </is>
      </c>
      <c r="B6" s="11" t="inlineStr">
        <is>
          <t>Use Case: Order Processing and Sales Operations</t>
        </is>
      </c>
      <c r="C6" s="11" t="inlineStr">
        <is>
          <t>Received</t>
        </is>
      </c>
      <c r="D6" s="11" t="inlineStr">
        <is>
          <t>Reviewed</t>
        </is>
      </c>
    </row>
    <row r="7">
      <c r="A7" s="11" t="inlineStr">
        <is>
          <t>2.7</t>
        </is>
      </c>
      <c r="B7" s="11" t="inlineStr">
        <is>
          <t>Use Case: Administrative Controls</t>
        </is>
      </c>
      <c r="C7" s="11" t="inlineStr">
        <is>
          <t>Received</t>
        </is>
      </c>
      <c r="D7" s="11" t="inlineStr">
        <is>
          <t>Reviewed</t>
        </is>
      </c>
    </row>
    <row r="8">
      <c r="A8" s="11" t="inlineStr">
        <is>
          <t>2.8</t>
        </is>
      </c>
      <c r="B8" s="11" t="inlineStr">
        <is>
          <t>Activity: Login Process</t>
        </is>
      </c>
      <c r="C8" s="11" t="inlineStr">
        <is>
          <t>Received</t>
        </is>
      </c>
      <c r="D8" s="11" t="inlineStr">
        <is>
          <t>Reviewed</t>
        </is>
      </c>
    </row>
    <row r="9">
      <c r="A9" s="11" t="inlineStr">
        <is>
          <t>2.9</t>
        </is>
      </c>
      <c r="B9" s="11" t="inlineStr">
        <is>
          <t>Activity: Account Registration</t>
        </is>
      </c>
      <c r="C9" s="11" t="inlineStr">
        <is>
          <t>Received</t>
        </is>
      </c>
      <c r="D9" s="11" t="inlineStr">
        <is>
          <t>Reviewed</t>
        </is>
      </c>
    </row>
    <row r="10">
      <c r="A10" s="11" t="inlineStr">
        <is>
          <t>2.10</t>
        </is>
      </c>
      <c r="B10" s="11" t="inlineStr">
        <is>
          <t>Activity: Customer Purchasing</t>
        </is>
      </c>
      <c r="C10" s="11" t="inlineStr">
        <is>
          <t>Received</t>
        </is>
      </c>
      <c r="D10" s="11" t="inlineStr">
        <is>
          <t>Reviewed</t>
        </is>
      </c>
    </row>
    <row r="11">
      <c r="A11" s="11" t="inlineStr">
        <is>
          <t>2.11</t>
        </is>
      </c>
      <c r="B11" s="11" t="inlineStr">
        <is>
          <t>Activity: Payment Verification and Order Processing</t>
        </is>
      </c>
      <c r="C11" s="11" t="inlineStr">
        <is>
          <t>Received</t>
        </is>
      </c>
      <c r="D11" s="11" t="inlineStr">
        <is>
          <t>Reviewed</t>
        </is>
      </c>
    </row>
    <row r="12">
      <c r="A12" s="11" t="inlineStr">
        <is>
          <t>2.12</t>
        </is>
      </c>
      <c r="B12" s="11" t="inlineStr">
        <is>
          <t>Activity: Inventory Management</t>
        </is>
      </c>
      <c r="C12" s="11" t="inlineStr">
        <is>
          <t>Received</t>
        </is>
      </c>
      <c r="D12" s="11" t="inlineStr">
        <is>
          <t>Reviewed</t>
        </is>
      </c>
    </row>
    <row r="13">
      <c r="A13" s="11" t="inlineStr">
        <is>
          <t>2.13</t>
        </is>
      </c>
      <c r="B13" s="11" t="inlineStr">
        <is>
          <t>Activity: Wholesale Order Processing</t>
        </is>
      </c>
      <c r="C13" s="11" t="inlineStr">
        <is>
          <t>Received</t>
        </is>
      </c>
      <c r="D13" s="11" t="inlineStr">
        <is>
          <t>Reviewed</t>
        </is>
      </c>
    </row>
    <row r="14">
      <c r="A14" s="11" t="inlineStr">
        <is>
          <t>2.14</t>
        </is>
      </c>
      <c r="B14" s="11" t="inlineStr">
        <is>
          <t>Activity: Walk-in Order Processing (POS)</t>
        </is>
      </c>
      <c r="C14" s="11" t="inlineStr">
        <is>
          <t>Received</t>
        </is>
      </c>
      <c r="D14" s="11" t="inlineStr">
        <is>
          <t>Reviewed</t>
        </is>
      </c>
    </row>
    <row r="15">
      <c r="A15" s="11" t="inlineStr">
        <is>
          <t>2.15</t>
        </is>
      </c>
      <c r="B15" s="11" t="inlineStr">
        <is>
          <t>Activity: Wholesale Exchange Processing</t>
        </is>
      </c>
      <c r="C15" s="11" t="inlineStr">
        <is>
          <t>Received</t>
        </is>
      </c>
      <c r="D15" s="11" t="inlineStr">
        <is>
          <t>Reviewed</t>
        </is>
      </c>
    </row>
    <row r="16">
      <c r="A16" s="11" t="inlineStr">
        <is>
          <t>2.16-2.21</t>
        </is>
      </c>
      <c r="B16" s="11" t="inlineStr">
        <is>
          <t>Wireframes</t>
        </is>
      </c>
      <c r="C16" s="11" t="inlineStr">
        <is>
          <t>Not requested</t>
        </is>
      </c>
      <c r="D16" s="11" t="inlineStr">
        <is>
          <t>Optional - send if you want UI compared to wireframes</t>
        </is>
      </c>
    </row>
  </sheetData>
  <autoFilter ref="A1:D1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2026-10-21T02:18:23Z</dcterms:created>
  <dcterms:modified xmlns:dcterms="http://purl.org/dc/terms/" xmlns:xsi="http://www.w3.org/2001/XMLSchema-instance" xsi:type="dcterms:W3CDTF">2026-10-21T02:18:23Z</dcterms:modified>
</cp:coreProperties>
</file>