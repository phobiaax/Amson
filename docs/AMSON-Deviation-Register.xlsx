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1.xml.rels" ContentType="application/vnd.openxmlformats-package.relationships+xml"/>
  <Override PartName="/xl/worksheets/_rels/sheet5.xml.rels" ContentType="application/vnd.openxmlformats-package.relationships+xml"/>
  <Override PartName="/xl/worksheets/_rels/sheet10.xml.rels" ContentType="application/vnd.openxmlformats-package.relationships+xml"/>
  <Override PartName="/xl/worksheets/_rels/sheet4.xml.rels" ContentType="application/vnd.openxmlformats-package.relationships+xml"/>
  <Override PartName="/xl/worksheets/_rels/sheet9.xml.rels" ContentType="application/vnd.openxmlformats-package.relationships+xml"/>
  <Override PartName="/xl/worksheets/_rels/sheet8.xml.rels" ContentType="application/vnd.openxmlformats-package.relationships+xml"/>
  <Override PartName="/xl/worksheets/_rels/sheet7.xml.rels" ContentType="application/vnd.openxmlformats-package.relationships+xml"/>
  <Override PartName="/xl/worksheets/_rels/sheet13.xml.rels" ContentType="application/vnd.openxmlformats-package.relationships+xml"/>
  <Override PartName="/xl/worksheets/_rels/sheet6.xml.rels" ContentType="application/vnd.openxmlformats-package.relationships+xml"/>
  <Override PartName="/xl/worksheets/_rels/sheet12.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sheet9.xml" ContentType="application/vnd.openxmlformats-officedocument.spreadsheetml.worksheet+xml"/>
  <Override PartName="/xl/worksheets/sheet11.xml" ContentType="application/vnd.openxmlformats-officedocument.spreadsheetml.worksheet+xml"/>
  <Override PartName="/xl/worksheets/sheet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4.xml" ContentType="application/vnd.openxmlformats-officedocument.spreadsheetml.worksheet+xml"/>
  <Override PartName="/xl/worksheets/sheet3.xml" ContentType="application/vnd.openxmlformats-officedocument.spreadsheetml.worksheet+xml"/>
  <Override PartName="/xl/worksheets/sheet8.xml" ContentType="application/vnd.openxmlformats-officedocument.spreadsheetml.worksheet+xml"/>
  <Override PartName="/xl/worksheets/sheet13.xml" ContentType="application/vnd.openxmlformats-officedocument.spreadsheetml.worksheet+xml"/>
  <Override PartName="/xl/worksheets/sheet2.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1.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10.xml" ContentType="application/vnd.openxmlformats-officedocument.drawing+xml"/>
  <Override PartName="/xl/drawings/drawing7.xml" ContentType="application/vnd.openxmlformats-officedocument.drawing+xml"/>
  <Override PartName="/xl/drawings/drawing11.xml" ContentType="application/vnd.openxmlformats-officedocument.drawing+xml"/>
  <Override PartName="/xl/drawings/drawing8.xml" ContentType="application/vnd.openxmlformats-officedocument.drawing+xml"/>
  <Override PartName="/xl/drawings/drawing12.xml" ContentType="application/vnd.openxmlformats-officedocument.drawing+xml"/>
  <Override PartName="/xl/drawings/drawing9.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ummary" sheetId="1" state="visible" r:id="rId3"/>
    <sheet name="To-Do" sheetId="2" state="visible" r:id="rId4"/>
    <sheet name="Requirements" sheetId="3" state="visible" r:id="rId5"/>
    <sheet name="Use Cases" sheetId="4" state="visible" r:id="rId6"/>
    <sheet name="Activity Diagrams" sheetId="5" state="visible" r:id="rId7"/>
    <sheet name="Contradictions" sheetId="6" state="visible" r:id="rId8"/>
    <sheet name="Tech Stack" sheetId="7" state="visible" r:id="rId9"/>
    <sheet name="Paper Edits" sheetId="8" state="visible" r:id="rId10"/>
    <sheet name="Removals (Letter)" sheetId="9" state="visible" r:id="rId11"/>
    <sheet name="Report Formats" sheetId="10" state="visible" r:id="rId12"/>
    <sheet name="Interview Asks" sheetId="11" state="visible" r:id="rId13"/>
    <sheet name="Manuscript Pass" sheetId="12" state="visible" r:id="rId14"/>
    <sheet name="Figures" sheetId="13" state="visible" r:id="rId15"/>
  </sheets>
  <definedNames>
    <definedName function="false" hidden="true" localSheetId="4" name="_xlnm._FilterDatabase" vbProcedure="false">'Activity Diagrams'!$A$1:$G$46</definedName>
    <definedName function="false" hidden="true" localSheetId="5" name="_xlnm._FilterDatabase" vbProcedure="false">Contradictions!$A$1:$E$20</definedName>
    <definedName function="false" hidden="true" localSheetId="12" name="_xlnm._FilterDatabase" vbProcedure="false">Figures!$A$1:$D$16</definedName>
    <definedName function="false" hidden="true" localSheetId="10" name="_xlnm._FilterDatabase" vbProcedure="false">'Interview Asks'!$A$1:$D$34</definedName>
    <definedName function="false" hidden="true" localSheetId="11" name="_xlnm._FilterDatabase" vbProcedure="false">'Manuscript Pass'!$A$1:$F$48</definedName>
    <definedName function="false" hidden="true" localSheetId="7" name="_xlnm._FilterDatabase" vbProcedure="false">'Paper Edits'!$A$1:$B$23</definedName>
    <definedName function="false" hidden="true" localSheetId="8" name="_xlnm._FilterDatabase" vbProcedure="false">'Removals (Letter)'!$A$1:$E$15</definedName>
    <definedName function="false" hidden="true" localSheetId="9" name="_xlnm._FilterDatabase" vbProcedure="false">'Report Formats'!$A$1:$E$13</definedName>
    <definedName function="false" hidden="true" localSheetId="2" name="_xlnm._FilterDatabase" vbProcedure="false">Requirements!$A$1:$K$154</definedName>
    <definedName function="false" hidden="true" localSheetId="6" name="_xlnm._FilterDatabase" vbProcedure="false">'Tech Stack'!$A$1:$E$18</definedName>
    <definedName function="false" hidden="true" localSheetId="1" name="_xlnm._FilterDatabase" vbProcedure="false">'To-Do'!$A$1:$K$197</definedName>
    <definedName function="false" hidden="true" localSheetId="3" name="_xlnm._FilterDatabase" vbProcedure="false">'Use Cases'!$A$1:$F$71</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<sst xmlns="http://schemas.openxmlformats.org/spreadsheetml/2006/main" count="4979" uniqueCount="1999">
  <si>
    <t xml:space="preserve">AMSON - Paper vs. System Deviation Register</t>
  </si>
  <si>
    <t xml:space="preserve">Baseline: manuscript dated May 16, 2026 (approved May 22, 2026). System: branch webapp, commit 41f61c8 (2026-10-04).</t>
  </si>
  <si>
    <t xml:space="preserve">Reviewed: full manuscript text incl. 4 interview transcripts; Figures 2.2-2.15 (diagrams + text), second full pass of every section incl. tech stack, Gantt, budget, references. Not compared: wireframes 2.16-2.21. The To-Do sheet is the master list.</t>
  </si>
  <si>
    <t xml:space="preserve">Status</t>
  </si>
  <si>
    <t xml:space="preserve">Requirements</t>
  </si>
  <si>
    <t xml:space="preserve">Use-case bubbles</t>
  </si>
  <si>
    <t xml:space="preserve">Matches</t>
  </si>
  <si>
    <t xml:space="preserve">Partial</t>
  </si>
  <si>
    <t xml:space="preserve">Deviates</t>
  </si>
  <si>
    <t xml:space="preserve">Missing</t>
  </si>
  <si>
    <t xml:space="preserve">Not verified</t>
  </si>
  <si>
    <t xml:space="preserve">N/A</t>
  </si>
  <si>
    <t xml:space="preserve">Total</t>
  </si>
  <si>
    <t xml:space="preserve">Recommendation</t>
  </si>
  <si>
    <t xml:space="preserve">Change system</t>
  </si>
  <si>
    <t xml:space="preserve">Change paper</t>
  </si>
  <si>
    <t xml:space="preserve">System + paper</t>
  </si>
  <si>
    <t xml:space="preserve">Move to Limitations</t>
  </si>
  <si>
    <t xml:space="preserve">Decision needed</t>
  </si>
  <si>
    <t xml:space="preserve">Open to-do items</t>
  </si>
  <si>
    <t xml:space="preserve">Legend</t>
  </si>
  <si>
    <t xml:space="preserve">System does what the paper says.</t>
  </si>
  <si>
    <t xml:space="preserve">Some of it is built; the rest is missing or different.</t>
  </si>
  <si>
    <t xml:space="preserve">Built, but behaves differently from the paper.</t>
  </si>
  <si>
    <t xml:space="preserve">Not built.</t>
  </si>
  <si>
    <t xml:space="preserve">Can't be judged from the code; needs testing.</t>
  </si>
  <si>
    <t xml:space="preserve">Change system / Change paper / System + paper</t>
  </si>
  <si>
    <t xml:space="preserve">Which side to fix.</t>
  </si>
  <si>
    <t xml:space="preserve">Keep out of scope, state it in Scope and Limitations.</t>
  </si>
  <si>
    <t xml:space="preserve">Too big or a policy choice - the team decides.</t>
  </si>
  <si>
    <t xml:space="preserve">Defense risk</t>
  </si>
  <si>
    <t xml:space="preserve">How likely the panel hits it: High / Med / Low.</t>
  </si>
  <si>
    <t xml:space="preserve">Effort</t>
  </si>
  <si>
    <t xml:space="preserve">S = hours, M = about a day, L = several days.</t>
  </si>
  <si>
    <t xml:space="preserve">#</t>
  </si>
  <si>
    <t xml:space="preserve">Area</t>
  </si>
  <si>
    <t xml:space="preserve">Where / refs</t>
  </si>
  <si>
    <t xml:space="preserve">Item</t>
  </si>
  <si>
    <t xml:space="preserve">Type</t>
  </si>
  <si>
    <t xml:space="preserve">Notes</t>
  </si>
  <si>
    <t xml:space="preserve">Paper impact</t>
  </si>
  <si>
    <t xml:space="preserve">Owner</t>
  </si>
  <si>
    <t xml:space="preserve">Client</t>
  </si>
  <si>
    <t xml:space="preserve">REQ009 product catalog, REQ061 (catalog data)</t>
  </si>
  <si>
    <t xml:space="preserve">Upload Amson's April price list: 1,130 sellable products in 7 files - a demo file of 50 popular products, then 5 Generics files and 1 Medical Supplies file (each product in exactly one file) + read-me/checklist</t>
  </si>
  <si>
    <t xml:space="preserve">Open</t>
  </si>
  <si>
    <t xml:space="preserve">S</t>
  </si>
  <si>
    <t xml:space="preserve">High</t>
  </si>
  <si>
    <t xml:space="preserve">Every product is in the POS; only the 50 demo products are also in the online store (the other 1,080 upload as POS-only). Rebuilt 2026-10-23: 42 price-0 lines (free goods / not priced) and 2 unpriced lines left out and listed. Tested through the importer. Upload as the Branch Manager, each file once. Not committed (client data).</t>
  </si>
  <si>
    <t xml:space="preserve">None</t>
  </si>
  <si>
    <t xml:space="preserve">REQ024 prescription items, REQ077</t>
  </si>
  <si>
    <t xml:space="preserve">Pharmacist to check the Rx Required flag on all 1,130 products (set to YES unless a common OTC medicine; injectables and IV fluids always Rx)</t>
  </si>
  <si>
    <t xml:space="preserve">'Rx check' sheet in the read-me workbook; untick in the review table before confirming.</t>
  </si>
  <si>
    <t xml:space="preserve">REQ061-066 receiving, FEFO</t>
  </si>
  <si>
    <t xml:space="preserve">Opening stock: current quantity per product and batch (count sheet ready - item 162; Amson to count the shelves)</t>
  </si>
  <si>
    <t xml:space="preserve">Once products are uploaded, export SKUs and we build the Receive Stock upload with batch, expiry and quantity.</t>
  </si>
  <si>
    <t xml:space="preserve">Product Browsing REQ009-012, Online store demo</t>
  </si>
  <si>
    <t xml:space="preserve">Demo storefront: 50 popular products (41 over-the-counter, 9 prescription) with customer descriptions; photos of Amson's actual boxes still to take and attach</t>
  </si>
  <si>
    <t xml:space="preserve">Picked from Amson's April 15 sales and everyday pharmacy needs (fever, cough/colds, allergy, stomach, vitamins, skin, maintenance medicines, supplies). Descriptions follow each medicine's standard approved use, no doses - the pharmacist checks them against the package insert of the box on the shelf (official wording; some also on the Philippine FDA verification portal). Photos: take them of Amson's own boxes (most of these local brands have no official images online), name each file after its product and add them all at once with Products &gt; Upload Photos (item 157). 'Demo photos' checklist in the read-me.</t>
  </si>
  <si>
    <t xml:space="preserve">Client items (-)</t>
  </si>
  <si>
    <t xml:space="preserve">Get from the client: the QR Ph image, the sales invoice format, and the store details for the footer (hotline, email, hours, address, FDA LTO No. - fill js/store-info.js); have them review the Terms/Privacy text. Ask them: are all sales VAT-exempt (sample shows VATable 0.00), is pay-in/pay-out used, who tracks credit collections, which categories to use, may we load the real catalog for the demo?</t>
  </si>
  <si>
    <t xml:space="preserve">Manuscript pass</t>
  </si>
  <si>
    <t xml:space="preserve">Decision</t>
  </si>
  <si>
    <t xml:space="preserve">REQ035-038, REQ108-110, REQNF008, REQNF012</t>
  </si>
  <si>
    <t xml:space="preserve">Live chat (guest/customer widget, staff console, resolve threads; AI replies)</t>
  </si>
  <si>
    <t xml:space="preserve">L</t>
  </si>
  <si>
    <t xml:space="preserve">DONE 80b3988: widget, built-in answers, Gemini via Firebase AI Logic, daily AI limit with usage shown, staff console (reply, take over, hand back, resolve), staff alert. AI Logic (Gemini Developer API) is enabled in the console (checked 2026-10-24); rules published 2026-10-24. Decide: build (AI needs a server function) or scope down + Limitations. Affects Objective 1, Scope, Comparative Analysis.</t>
  </si>
  <si>
    <t xml:space="preserve">Done</t>
  </si>
  <si>
    <t xml:space="preserve">Comparative Analysis (p.18)</t>
  </si>
  <si>
    <t xml:space="preserve">The proposed system gets a tick for 'AI-powered live chat'; keep only if chat is built.</t>
  </si>
  <si>
    <t xml:space="preserve">DONE chat is built (80b3988); keep the tick.</t>
  </si>
  <si>
    <t xml:space="preserve">System</t>
  </si>
  <si>
    <t xml:space="preserve">REQ066, Title, Obj. 2</t>
  </si>
  <si>
    <t xml:space="preserve">Near-expiry stock removed from sale by date on every sale/catalog load, not only when Inventory is opened</t>
  </si>
  <si>
    <t xml:space="preserve">DONE e1e200b. Title feature.</t>
  </si>
  <si>
    <t xml:space="preserve">REQ058, REQ111-115, REQNF020, Obj. 3</t>
  </si>
  <si>
    <t xml:space="preserve">Build the Reports module: daily sales (per customer, items with batch + expiry), monthly inventory + purchases (batch, expiry, date received, receipt no., supplier), pull-out, discrepancy; date range; PDF + Excel. Wire the 5 blank Export buttons to it.</t>
  </si>
  <si>
    <t xml:space="preserve">DONE bf16804: Reports page with Daily Sales, Customer File, Monthly Inventory, Supplier Purchases, Pull-Out and PO Discrepancy in the branch's formats; preview, PDF, Excel. Not yet: Return to POS / wholesale exchange report (needs the exchange feature). Discount, VAT and pay-in/pay-out columns show 0 (client: no discounts; VAT-exempt as in their sample). PARTIAL aece0e7: all 6 Export buttons now produce real PDF/Excel tables of what's on screen; the client's 4 report formats are still to build. Client's one remaining ask (Interview 4). Build to the 4 client samples (see Report Formats sheet); Excel output must paste cleanly into the main office's own sheets (Interviews 1, 2, 4); daily sales should total by payment method to match the daily cash remittance (Interview 2).</t>
  </si>
  <si>
    <t xml:space="preserve">REQ024-025, REQ077-081, C3</t>
  </si>
  <si>
    <t xml:space="preserve">Prescription verification: approve/reject with mandatory reason, 'Ready for pick-up' notification, record who verified, RX filter in the queue</t>
  </si>
  <si>
    <t xml:space="preserve">M</t>
  </si>
  <si>
    <t xml:space="preserve">DONE 082ec92: RX filter, Reject Prescription with reason (7-day re-upload hold), 'ready for pick-up' notice, verifier recorded + audit.</t>
  </si>
  <si>
    <t xml:space="preserve">REQ034, REQ104-105</t>
  </si>
  <si>
    <t xml:space="preserve">Show the Lalamove tracking link to the customer on their order page</t>
  </si>
  <si>
    <t xml:space="preserve">DONE customer order page shows a 'Track with Lalamove' card once dispatched.</t>
  </si>
  <si>
    <t xml:space="preserve">REQ028</t>
  </si>
  <si>
    <t xml:space="preserve">Add the client's real QR PH image (assets/payment-qr.png)</t>
  </si>
  <si>
    <t xml:space="preserve">Need the image from the client.</t>
  </si>
  <si>
    <t xml:space="preserve">REQ010-011</t>
  </si>
  <si>
    <t xml:space="preserve">Wire product search (header box) + add price-range and stock-status filters</t>
  </si>
  <si>
    <t xml:space="preserve">DONE header search on every shop page -&gt; catalog keyword search (name, generic, brand, description); price range + availability filters.</t>
  </si>
  <si>
    <t xml:space="preserve">Purpose p.3; Interviews 1-2</t>
  </si>
  <si>
    <t xml:space="preserve">Stop calling system documents 'Official Receipt': relabel the online PDF (js/orders.js:263) and add 'This is not an official receipt' to all system receipts/invoices</t>
  </si>
  <si>
    <t xml:space="preserve">Bug</t>
  </si>
  <si>
    <t xml:space="preserve">DONE e1e200b. Client is not BIR-connected by choice and issues BIR/VAT receipts manually on request.</t>
  </si>
  <si>
    <t xml:space="preserve">REQ006, REQNF025, Limitations p.7; Interviews 1-3</t>
  </si>
  <si>
    <t xml:space="preserve">Rewrite Terms &amp; Privacy to the client's actual policies: no refunds (exchange only), no cancellation after payment, 7-day hold then closure with credit kept, delivery fee and failed-delivery fees paid by the customer to the rider, RX pick-up only with original prescription, QR Ph only, Data Privacy Act 2012. Remove 'refunds case-by-case' and 'request deletion' (system only deactivates). Replace placeholder support@amson.ph with a real contact.</t>
  </si>
  <si>
    <t xml:space="preserve">DONE js/legal-content.js used by the sign-up pop-up and new legal.html; written to the client's policies + Data Privacy Act. CLIENT MUST REVIEW before go-live. Panel may read the Terms during the demo.</t>
  </si>
  <si>
    <t xml:space="preserve">Report Formats sheet; REQ111; Interviews 2, 4</t>
  </si>
  <si>
    <t xml:space="preserve">Record which batch (batch no. + expiry) each sold item came from, on every POS, online and wholesale sale</t>
  </si>
  <si>
    <t xml:space="preserve">DONE e1e200b. Every client report lists batch + expiry per sold line; today FEFO deducts the right batch but the sale doesn't remember which. Blocks the Reports module.</t>
  </si>
  <si>
    <t xml:space="preserve">Report Formats sheet (SI# 00008247...); Modules p.43</t>
  </si>
  <si>
    <t xml:space="preserve">One sequential Sales Invoice (SI#) number across walk-in, online and wholesale sales</t>
  </si>
  <si>
    <t xml:space="preserve">DONE e1e200b. Replaces the separate 'receipt numbers' item; voids reference it.</t>
  </si>
  <si>
    <t xml:space="preserve">Report Formats sheet (Payment Method section, Terms of Payment)</t>
  </si>
  <si>
    <t xml:space="preserve">Payment method + terms on every sale: Cash, G-Cash/QR Ph, Bank Transfer, Terminal (card), Credit (pay later); add to wholesale orders, which record none today</t>
  </si>
  <si>
    <t xml:space="preserve">DONE e1e200b. Credit was ₱57,534 of ₱81,181 on the sample day.</t>
  </si>
  <si>
    <t xml:space="preserve">REQNF011, REQ121</t>
  </si>
  <si>
    <t xml:space="preserve">Database rules per staff role: Sales Staff limited to POS + read-only catalog in the rules too, not only in the page menus</t>
  </si>
  <si>
    <t xml:space="preserve">DONE 5223385: Sales Staff limited to POS, stock, counters, audit entries, catalog and own account in the rules. Pages already block Sales Staff; someone with technical know-how could still write other collections directly.</t>
  </si>
  <si>
    <t xml:space="preserve">REQ095-100, REQ098</t>
  </si>
  <si>
    <t xml:space="preserve">Bug check: store credit could be lost or added twice on expired holds; credit redeemed on an order was lost on invalid-payment holds; two staff approving at once deducted stock twice</t>
  </si>
  <si>
    <t xml:space="preserve">DONE f0faaad.</t>
  </si>
  <si>
    <t xml:space="preserve">REQNF011, REQ002, REQ098</t>
  </si>
  <si>
    <t xml:space="preserve">Bug check: database rules let a customer create orders with any status/hold, start with store credit, rewrite a hold when resubmitting, or reset the order counter; deactivated staff kept access</t>
  </si>
  <si>
    <t xml:space="preserve">DONE 5d41982 - Published to amson-web-app 2026-10-24 (live rules = 7fdbde9).</t>
  </si>
  <si>
    <t xml:space="preserve">REQNF011</t>
  </si>
  <si>
    <t xml:space="preserve">Bug check: customer- and staff-typed text (names, order numbers, notes) was put into admin pages as HTML</t>
  </si>
  <si>
    <t xml:space="preserve">DONE 72e7361.</t>
  </si>
  <si>
    <t xml:space="preserve">REQ061-066 receiving, FEFO, Inventory module</t>
  </si>
  <si>
    <t xml:space="preserve">Opening Stock (Inventory): download a count sheet, fill in batch/expiry/quantity counted, upload once; matched by code or exact name, checked row by row, saved as counted stock (not a purchase) and left out of Supplier Purchases</t>
  </si>
  <si>
    <t xml:space="preserve">Added</t>
  </si>
  <si>
    <t xml:space="preserve">DONE df886ef. Prefilled sheet from the April price list made for Amson (1,130 products; batch+expiry filled for 766; 175 with a note to check the box). Tested: all 766 rows matched by name. Not committed (client data).</t>
  </si>
  <si>
    <t xml:space="preserve">REQ062-066 expiry tracking, FEFO</t>
  </si>
  <si>
    <t xml:space="preserve">Bug fixed: Excel dates in the Receive Stock upload were saved a day early in the Philippines (UTC+8) - 2028-01-01 became 2027-12-31; 'today' in Inventory and checkout was yesterday until 8 AM</t>
  </si>
  <si>
    <t xml:space="preserve">DONE df886ef. Check any batches already uploaded by Excel before this fix: their expiry may be one day early.</t>
  </si>
  <si>
    <t xml:space="preserve">REQNF011 security, REQ121 Sales Staff, REQ004 lockout</t>
  </si>
  <si>
    <t xml:space="preserve">Security rules audit (Firebase plugin checklist): staff could raise their own role; deactivated managers could still change prices and create staff; Sales Staff not limited in the database; email addresses listable through loginAttempts; public chat could store unlimited data</t>
  </si>
  <si>
    <t xml:space="preserve">DONE 5223385. Published to amson-web-app 2026-10-24 (live rules = 7fdbde9). 117 rule checks pass.</t>
  </si>
  <si>
    <t xml:space="preserve">REQ083, REQ122, Fig 2.6, Fig 2.14, C4</t>
  </si>
  <si>
    <t xml:space="preserve">Walk-in void: reason, original receipt no., automatic stock restore, optional exchange item + price difference, audit entry; restricted to authorized role</t>
  </si>
  <si>
    <t xml:space="preserve">DONE 57f4d80: BM/Technical void completed sales from POS Today's Sales or Walk-in Orders: reason, SI No., stock restored to the same batches, exchange note + price difference, audit entry. Still open: second-person approval (client rule) and exchange as a real stock movement. Client's #1 pain point (Interview 4). Client rules: a void needs a second authorized person, not one junior staff member alone; exchange item must be equal or higher value (customer pays the difference, never refunded); restored stock must show online too.</t>
  </si>
  <si>
    <t xml:space="preserve">Corrects / rewords</t>
  </si>
  <si>
    <t xml:space="preserve">REQ098, REQ102, C2</t>
  </si>
  <si>
    <t xml:space="preserve">Fix overpayment approval: clear the old hold, send 'Payment confirmed' notification; reword REQ098</t>
  </si>
  <si>
    <t xml:space="preserve">DONE e1e200b (system part; REQ098 paper wording still to do). From the first review.</t>
  </si>
  <si>
    <t xml:space="preserve">REQ071, REQ073, REQ120, REQNF011, C8</t>
  </si>
  <si>
    <t xml:space="preserve">Price lock: only Branch Manager sets prices on create/import too; enforce in database rules; add a reason to each price change</t>
  </si>
  <si>
    <t xml:space="preserve">DONE BM-only prices in the form, batch import and quick-add (others' products saved Inactive + 'Price pending'); reason required and logged; enforced in firestore.rules - Published to amson-web-app 2026-10-24 (live rules = 7fdbde9).</t>
  </si>
  <si>
    <t xml:space="preserve">Paper</t>
  </si>
  <si>
    <t xml:space="preserve">Removals (Letter) sheet</t>
  </si>
  <si>
    <t xml:space="preserve">Letter to the panel: OpenAI -&gt; Gemini (free), Firebase Storage -&gt; Cloudinary, DataTable -&gt; custom tables, password reset via Firebase Auth, overpayment approve-and-credit, corrections to scope/conceptual framework</t>
  </si>
  <si>
    <t xml:space="preserve">One letter covers all remaining removals; send before the paper edits.</t>
  </si>
  <si>
    <t xml:space="preserve">REMOVES / narrows - see Removals (Letter)</t>
  </si>
  <si>
    <t xml:space="preserve">Objectives / evaluation (p.5-6, 21-24)</t>
  </si>
  <si>
    <t xml:space="preserve">Obj. 4 evaluates with TAM + ISO/IEC 25010, but there is no questionnaire, respondent group, sampling, scale, or statistical treatment yet. The final paper needs the instrument and a results chapter.</t>
  </si>
  <si>
    <t xml:space="preserve">REQ085-088 wholesale pricing, Reports (costing)</t>
  </si>
  <si>
    <t xml:space="preserve">Costing and wholesale prices: only about 56 of 1,130 products have them (from the March report); the price list has retail only</t>
  </si>
  <si>
    <t xml:space="preserve">Med</t>
  </si>
  <si>
    <t xml:space="preserve">Branch Manager fills them in Edit Product, or send a list with costing/wholesale and we update by file.</t>
  </si>
  <si>
    <t xml:space="preserve">REQ121</t>
  </si>
  <si>
    <t xml:space="preserve">Sales Staff access: trim to POS + catalog view, or reword REQ121</t>
  </si>
  <si>
    <t xml:space="preserve">DONE 57f4d80: POS (with Today's Sales) + read-only catalog; lands on POS after login. Orders access was added on purpose on 2026-10-01.</t>
  </si>
  <si>
    <t xml:space="preserve">REQNF005</t>
  </si>
  <si>
    <t xml:space="preserve">Live updates without refresh on all order and inventory screens (staff + customer)</t>
  </si>
  <si>
    <t xml:space="preserve">DONE 21e505b: orders (staff + customer), inventory, POS today's sales, chat.</t>
  </si>
  <si>
    <t xml:space="preserve">REQNF010, REQNF013</t>
  </si>
  <si>
    <t xml:space="preserve">Deployment: Firebase Hosting (HTTPS) or move hosting to Limitations</t>
  </si>
  <si>
    <t xml:space="preserve">DECIDED 2026-10-25: Firebase Hosting (free, no per-deploy cost, same project). Netlify dropped: its free plan spends 15 of 300 monthly credits per auto-deploy and paused the site. Deploy: npx firebase-tools deploy --only hosting (README). 2026-10-25: main address https://amsonpharma.web.app; the old amson-web-app.web.app gets the same files on each deploy. Both are authorized login domains; add amsonpharma.web.app to the reCAPTCHA checkbox key's domains.</t>
  </si>
  <si>
    <t xml:space="preserve">Report Formats sheet (Discount/Deductions columns); Interview 2</t>
  </si>
  <si>
    <t xml:space="preserve">Discount / deduction per sale or line, with reason and audit entry</t>
  </si>
  <si>
    <t xml:space="preserve">Client confirmed: no discounts. Not in the paper; client gives boss-approved discounts today.</t>
  </si>
  <si>
    <t xml:space="preserve">None (not in paper)</t>
  </si>
  <si>
    <t xml:space="preserve">Dropped</t>
  </si>
  <si>
    <t xml:space="preserve">Methodology p.30 ('actual client data'); Report Formats sheet</t>
  </si>
  <si>
    <t xml:space="preserve">Load the client's real March-end catalog (prices, batches, expiry) from their workbook via the existing upload templates</t>
  </si>
  <si>
    <t xml:space="preserve">Client sent the April price list (2026-10-22): product upload files ready (item 149); opening stock quantities still needed (item 153). Makes the demo and the TAM evaluation realistic; check confidentiality with the client first.</t>
  </si>
  <si>
    <t xml:space="preserve">Live chat module</t>
  </si>
  <si>
    <t xml:space="preserve">Decide the live chat health approach with Amson / their pharmacist: label matching (now), staff-assigned condition shelves, or Shopee-style ingredient info with guardrails</t>
  </si>
  <si>
    <t xml:space="preserve">-</t>
  </si>
  <si>
    <t xml:space="preserve">Label matching can suggest a pain reliever for any pain (e.g. foot pain -&gt; Biogesic). Paper wording must stay honest: suggestions, not advice.</t>
  </si>
  <si>
    <t xml:space="preserve">Limitations (p.7)</t>
  </si>
  <si>
    <t xml:space="preserve">'Retail item exchanges ... coordinated through live chat': if chat is cut, change this to phone/Messenger.</t>
  </si>
  <si>
    <t xml:space="preserve">DONE chat is built; keep 'coordinated through live chat'.</t>
  </si>
  <si>
    <t xml:space="preserve">Add new limitations if decided: hosting/deployment, live chat/AI, real-time refresh, OpenAI cost.</t>
  </si>
  <si>
    <t xml:space="preserve">Technical Background (p.35, 37)</t>
  </si>
  <si>
    <t xml:space="preserve">Netlify listed for hosting with continuous integration; nothing is deployed (Netlify blocked by billing). Depends on the hosting decision.</t>
  </si>
  <si>
    <t xml:space="preserve">Remove or lock the Migrate Credit page (re-running it re-grants spent credit)</t>
  </si>
  <si>
    <t xml:space="preserve">DONE d9fc96b: locks itself after one run; SI counter now staff-only in rules (published 2026-10-24). From the first review.</t>
  </si>
  <si>
    <t xml:space="preserve">REQ002</t>
  </si>
  <si>
    <t xml:space="preserve">Close the email-verification bypass (code readable by customer; customer can set emailVerified)</t>
  </si>
  <si>
    <t xml:space="preserve">DECIDED 2026-10-25: keep the 6-digit code (a fix needs a server function or switching to a Firebase link). Add to Limitations: email verification is checked in the browser; a technically skilled user could bypass it. Orders still require staff-verified payment.</t>
  </si>
  <si>
    <t xml:space="preserve">REQ005, REQ044, Fig 2.3, Fig 2.8</t>
  </si>
  <si>
    <t xml:space="preserve">Unrecognized-device OTP for customers and staff</t>
  </si>
  <si>
    <t xml:space="preserve">DONE 7ede9d4: emailed code on new browsers, customers and staff; recognized devices in Account Settings.</t>
  </si>
  <si>
    <t xml:space="preserve">REQ086, REQ089, REQ091, REQ092</t>
  </si>
  <si>
    <t xml:space="preserve">Wholesale: purchase history per account (with reorder from a past order), wholesale sales invoice, free-of-cost option with reason, document expiry dates</t>
  </si>
  <si>
    <t xml:space="preserve">DONE 5cad255: history, sales invoice PDF, free-of-cost, LTO/permit validity. Not built: reorder from a past order. Interview 1: free RX goods go only to medical doctors/hospitals; vitamins open to all. Interview 2: reorder what they bought weeks ago.</t>
  </si>
  <si>
    <t xml:space="preserve">REQ090, REQ114, Fig 2.15</t>
  </si>
  <si>
    <t xml:space="preserve">Wholesale exchange workflow (return + FEFO replacement + audit + exchange document)</t>
  </si>
  <si>
    <t xml:space="preserve">DONE Purchase History -&gt; Exchange: return to batch, FEFO replacement, value rule, audit, exchange document; Return / Exchange report.</t>
  </si>
  <si>
    <t xml:space="preserve">REQ067, C7</t>
  </si>
  <si>
    <t xml:space="preserve">2-month Bad Order: auto-flag, disposal alert, auto-deduct with write-off record</t>
  </si>
  <si>
    <t xml:space="preserve">DONE d2a957b: automatic write-off with reason, audit entry, disposal alert, Mark disposed.</t>
  </si>
  <si>
    <t xml:space="preserve">Fig 2.6 Print Transaction Receipt, Modules p.44</t>
  </si>
  <si>
    <t xml:space="preserve">Receipt printing (thermal 58mm print layout) for POS sales</t>
  </si>
  <si>
    <t xml:space="preserve">DONE 57f4d80: Print button on every POS receipt; 58mm print layout. The 'not an official receipt' line was removed from POS and online receipts on 2026-10-21 at the team's request.</t>
  </si>
  <si>
    <t xml:space="preserve">REQ084</t>
  </si>
  <si>
    <t xml:space="preserve">POS: RX Verified checkbox + optional notes</t>
  </si>
  <si>
    <t xml:space="preserve">DONE 57f4d80: checkbox + notes, required for RX items, saved on the sale.</t>
  </si>
  <si>
    <t xml:space="preserve">REQ061, C5</t>
  </si>
  <si>
    <t xml:space="preserve">Reconciliation: Branch Manager-only finalize + variance reason in audit log</t>
  </si>
  <si>
    <t xml:space="preserve">DONE 06574da: others save counts; BM finalizes; variance reason required and logged.</t>
  </si>
  <si>
    <t xml:space="preserve">REQNF025, REQNF029</t>
  </si>
  <si>
    <t xml:space="preserve">Remove dead links and filler: Live Chat sidebar link, chat buttons, footer sample text, footer Privacy/Terms links</t>
  </si>
  <si>
    <t xml:space="preserve">Polish</t>
  </si>
  <si>
    <t xml:space="preserve">DONE footer rebuilt from js/store-info.js (real About text, links to legal.html; contact/LTO lines hidden until the client confirms them); chat links hidden until chat is built; payment page Terms link fixed. From the first review.</t>
  </si>
  <si>
    <t xml:space="preserve">REQ039, REQ042</t>
  </si>
  <si>
    <t xml:space="preserve">Email notifications for key order events + on/off toggle in Account Settings</t>
  </si>
  <si>
    <t xml:space="preserve">DONE EmailJS order template (ID to paste in js/emailjs-config.js) + on/off toggle in Account Settings. EmailJS free tier: 200/month.</t>
  </si>
  <si>
    <t xml:space="preserve">REQ122</t>
  </si>
  <si>
    <t xml:space="preserve">Audit log completeness: structured before/after, reasons, more events (receiving, PO, product create/delete, RX verification)</t>
  </si>
  <si>
    <t xml:space="preserve">DONE 2026-10-25: Record / Before / After / Reason fields on key events, shown in Audit Log + export. IP address still - (needs a server).</t>
  </si>
  <si>
    <t xml:space="preserve">REQ014</t>
  </si>
  <si>
    <t xml:space="preserve">Save cart to the customer's account</t>
  </si>
  <si>
    <t xml:space="preserve">DONE 77336f3.</t>
  </si>
  <si>
    <t xml:space="preserve">REQNF003, REQNF007</t>
  </si>
  <si>
    <t xml:space="preserve">Phone/tablet and cross-browser test pass</t>
  </si>
  <si>
    <t xml:space="preserve">Interviews 2, 4</t>
  </si>
  <si>
    <t xml:space="preserve">Supplier receipt / DR number field on Receive Stock and PO receiving</t>
  </si>
  <si>
    <t xml:space="preserve">DONE e1e200b. Required column in the monthly purchases report.</t>
  </si>
  <si>
    <t xml:space="preserve">Interview 4 walkthrough</t>
  </si>
  <si>
    <t xml:space="preserve">Supplier history: everything received from each supplier</t>
  </si>
  <si>
    <t xml:space="preserve">DONE Reports -&gt; Supplier Purchases (per supplier, per month). Shown to the client during the prototype walkthrough.</t>
  </si>
  <si>
    <t xml:space="preserve">Methodology p.30; Interview 4</t>
  </si>
  <si>
    <t xml:space="preserve">User manual + hands-on training + handover to the branch</t>
  </si>
  <si>
    <t xml:space="preserve">Client: 'kailangan pa namin gamayin, i-hands on pa namin to'.</t>
  </si>
  <si>
    <t xml:space="preserve">Report Formats sheet (Customer File shows named walk-ins, e.g. EMPLOYEE)</t>
  </si>
  <si>
    <t xml:space="preserve">Optional customer name on walk-in sales (default 'Walk-in')</t>
  </si>
  <si>
    <t xml:space="preserve">DONE e1e200b. Customer File groups every sale by customer name.</t>
  </si>
  <si>
    <t xml:space="preserve">Report Formats sheet (Supplier sheets)</t>
  </si>
  <si>
    <t xml:space="preserve">Unit cost, supplier receipt no., brand and pack on each stock receiving entry</t>
  </si>
  <si>
    <t xml:space="preserve">DONE e1e200b: unit cost + receipt/DR no. added; pack size stays in the product name as the branch does today. Monthly purchases report needs cost per delivery, not just the product's current costing.</t>
  </si>
  <si>
    <t xml:space="preserve">Report Formats sheet (monthly sheets); js/products-data.js:401</t>
  </si>
  <si>
    <t xml:space="preserve">Match the client's categories: Generics, Branded, Drugstore (per piece), Medical Supplies (no Grocery - client 2026-10-22)</t>
  </si>
  <si>
    <t xml:space="preserve">DONE e1e200b: also storefront links/filters now follow Manage Categories. Existing Firebase projects keep their current categories - add the client's in Manage Categories.. Default categories are OTC/Vitamins/Personal Care/Health &amp; Wellness; the monthly report is one sheet per client category.</t>
  </si>
  <si>
    <t xml:space="preserve">REQ085, REQ087</t>
  </si>
  <si>
    <t xml:space="preserve">Optional agreed price per wholesale buyer per product, used as default on their orders</t>
  </si>
  <si>
    <t xml:space="preserve">DONE saved from Process Order, listed in Edit account, default on orders. Keeps per-account pricing (no letter).</t>
  </si>
  <si>
    <t xml:space="preserve">Production readiness</t>
  </si>
  <si>
    <t xml:space="preserve">Cut database reads: stop loading whole collections on every page (Firestore free-plan daily read cap ~50k)</t>
  </si>
  <si>
    <t xml:space="preserve">DONE 6bdc6a6; reports and dashboard still read full history by design. Needed before real use with the client's ~1,000-product catalog.</t>
  </si>
  <si>
    <t xml:space="preserve">Dashboard module p.40; Interview 4 (dashboard export)</t>
  </si>
  <si>
    <t xml:space="preserve">Dashboard Sales Analytics: show which dates the Today/Week/Month/Year view covers, and add a picker to choose a specific day, week, month or year (with previous/next)</t>
  </si>
  <si>
    <t xml:space="preserve">DONE cb08e78: date range shown; Day/Week/Month/Year with previous/next and a date picker; exports name the period. Requested by the team 2026-10-21. Chart, totals and the export should all follow the picked period, and the export title should name it.</t>
  </si>
  <si>
    <t xml:space="preserve">REQ048, Notification module</t>
  </si>
  <si>
    <t xml:space="preserve">Admin notification for pending wholesale orders (Pending -&gt; Released)</t>
  </si>
  <si>
    <t xml:space="preserve">DONE 274b8e0: wholesale orders start Pending; Mark Released in purchase history; staff notification.</t>
  </si>
  <si>
    <t xml:space="preserve">REQ111, Sales Report module</t>
  </si>
  <si>
    <t xml:space="preserve">Daily Sales report: batch, expiry, date received and supplier per item sold</t>
  </si>
  <si>
    <t xml:space="preserve">DONE 274b8e0: 'Item Sold by Batch' section.</t>
  </si>
  <si>
    <t xml:space="preserve">Various</t>
  </si>
  <si>
    <t xml:space="preserve">Bug check: checkout, reports, inventory and wholesale fixes (RX orders always pick-up, price/availability re-check, exchanges in sales reports, write-off date, stock count variance, receiving saved all at once, invoice peso sign)</t>
  </si>
  <si>
    <t xml:space="preserve">DONE d51639d, 0e7826e.</t>
  </si>
  <si>
    <t xml:space="preserve">Shopping cart module, REQ014-016</t>
  </si>
  <si>
    <t xml:space="preserve">Buy Now goes to the cart page; Add to Cart / Buy Now no longer lose items on the next page</t>
  </si>
  <si>
    <t xml:space="preserve">DONE 010449e, 62b3c79. Cart sync uses a saved-at time so the newest cart wins; Buy Now adds the item and opens the cart.</t>
  </si>
  <si>
    <t xml:space="preserve">Inventory module, REQ061-063</t>
  </si>
  <si>
    <t xml:space="preserve">Receive Stock: every field required; supplier must be chosen (no 'No supplier')</t>
  </si>
  <si>
    <t xml:space="preserve">DONE 1581610. Same rules for the form, Excel upload and PO delivery.</t>
  </si>
  <si>
    <t xml:space="preserve">Inventory module, FEFO (REQ064-066)</t>
  </si>
  <si>
    <t xml:space="preserve">Batch numbers: same product + batch + expiry adds to that batch; same batch with a different expiry is refused; Bad Order batches can't be received again</t>
  </si>
  <si>
    <t xml:space="preserve">DONE df65830, a15c428. Team asked for unique batch numbers; agreed on this common practice since each batch has one expiry. Deliveries listed per batch.</t>
  </si>
  <si>
    <t xml:space="preserve">Report Formats (client's month-end report), REQ111</t>
  </si>
  <si>
    <t xml:space="preserve">Monthly Inventory report: Supplier column and an EXPIRED sheet (batches that expired in the month)</t>
  </si>
  <si>
    <t xml:space="preserve">DONE 59f740f. Team request 2026-10-21.</t>
  </si>
  <si>
    <t xml:space="preserve">POS module, REQ070-072</t>
  </si>
  <si>
    <t xml:space="preserve">POS: Reference No. required for GCash, bank transfer and card terminal payments</t>
  </si>
  <si>
    <t xml:space="preserve">DONE 2a52561. Saved on the sale, shown on receipt and reports.</t>
  </si>
  <si>
    <t xml:space="preserve">Audit log, REQNF011</t>
  </si>
  <si>
    <t xml:space="preserve">Audit log covers every stock and order movement (receive, write-off, PO, walk-in sale, order status changes, customer received/auto-delivered)</t>
  </si>
  <si>
    <t xml:space="preserve">DONE 2a52561. Team request 2026-10-21.</t>
  </si>
  <si>
    <t xml:space="preserve">Live chat: order cards ('My orders') and 'what we carry for this' product cards for symptoms, with a fixed caution and a pharmacist hand-off</t>
  </si>
  <si>
    <t xml:space="preserve">DONE d45e61b, 128d7d2. Products are matched by words on their labels (dosage notes); Gemini only reads the question, it never names a medicine.</t>
  </si>
  <si>
    <t xml:space="preserve">Tech Stack (free plans)</t>
  </si>
  <si>
    <t xml:space="preserve">Before go-live: serve smaller Cloudinary images and shrink uploads; cut Firestore reads</t>
  </si>
  <si>
    <t xml:space="preserve">DONE 6bdc6a6: resized delivery URLs (f_auto,q_auto,w_), photos shrunk before upload by kind; shop catalog cached 5 min in the browser, staff bell cached 2 min with status-filtered order/PO reads, Inventory and Orders read once via their live listeners. Keeps Cloudinary and Firestore on the free plans as visits grow. Offered, not built yet.</t>
  </si>
  <si>
    <t xml:space="preserve">Live chat module, Online order tracking</t>
  </si>
  <si>
    <t xml:space="preserve">Live chat order cards: products with photos, progress tracker with dates, delivery or pick-up, what happens next, Track rider; live status; Gemini routes order questions the word list misses</t>
  </si>
  <si>
    <t xml:space="preserve">DONE d16bd76. Several orders show as short cards with Show details; follow-up buttons fit the status.</t>
  </si>
  <si>
    <t xml:space="preserve">REQNF011, REQNF005, REQ064-067</t>
  </si>
  <si>
    <t xml:space="preserve">Code review of 2026-10-22 work: temporary delete rule narrowed to what Clear Test Data clears; staff can no longer delete counters (SI sequence) or store settings; bell keeps re-reading stock alerts on busy days; chat order list retries after errors and on account change; Inventory re-runs expiry rules on every refresh from live data and recovers a dropped listener; one UTC cutoff for the go-live page; cheaper counts</t>
  </si>
  <si>
    <t xml:space="preserve">DONE ed64de3 - Published to amson-web-app 2026-10-24 (live rules = 7fdbde9).</t>
  </si>
  <si>
    <t xml:space="preserve">REQ064 batch upload, Product Management module</t>
  </si>
  <si>
    <t xml:space="preserve">No duplicate products: batch import skips rows already in the catalog or repeated in the file (with 'Remove duplicates'); Add/Edit Product refuses an existing name; product codes (MED-) can never repeat</t>
  </si>
  <si>
    <t xml:space="preserve">DONE f7fb34c. Client request 2026-10-24. Names compared ignoring capitals, spaces and punctuation.</t>
  </si>
  <si>
    <t xml:space="preserve">REQNF011 security, Live chat module (AI Logic)</t>
  </si>
  <si>
    <t xml:space="preserve">Turn on Firebase App Check (reCAPTCHA v3, free) for the site and AI Logic, so only Amson's own site can use the Gemini quota and database</t>
  </si>
  <si>
    <t xml:space="preserve">Firebase's AI Logic guide says App Check is required in production. Needs a reCAPTCHA v3 site key from the console; then a small code change. Checked 2026-10-24: the App Check API is not enabled in amson-web-app yet. Without it, a script could use up the daily AI limit (the chat then hands off to staff). 2026-10-25: Google reCAPTCHA admin warned that the login/registration checkbox answers are not verified on a server (the site has none). Decided: App Check (reCAPTCHA v3) before go-live. Code in (APP_CHECK_SITE_KEY in js/firebase-config.js, chat app too), off until the key is set; then watch App Check metrics, add the local debug token, and only then enforce for Firestore and AI Logic. DECIDED 2026-10-25: not configured. APP_CHECK_SITE_KEY stays empty (code inert); the App Check registration in the Firebase console stays unenforced - never press Enforce. Known risk: scripts using the public config could use up the daily read quota or the AI chat limit; watch the Firestore usage graph.</t>
  </si>
  <si>
    <t xml:space="preserve">Project Context (p.1)</t>
  </si>
  <si>
    <t xml:space="preserve">Says the old POS couldn't print batch numbers, expiration dates or supplier details on receipts. The new receipts don't show them either; add batch/expiry to receipts and reports, or soften the sentence.</t>
  </si>
  <si>
    <t xml:space="preserve">DONE Wholesale sales invoices, the Customer File report and Return/Exchange report carry batch + expiry per line; no paper change needed.</t>
  </si>
  <si>
    <t xml:space="preserve">Theoretical Framework (p.24)</t>
  </si>
  <si>
    <t xml:space="preserve">'Only authorized branch managers can ... override automated inventory counts': needs the REQ061 fix (Branch Manager-only reconciliation finalize).</t>
  </si>
  <si>
    <t xml:space="preserve">DONE 06574da: system now matches (BM-only finalize).</t>
  </si>
  <si>
    <t xml:space="preserve">Conceptual Framework (Output) (p.27)</t>
  </si>
  <si>
    <t xml:space="preserve">'Terms and Conditions remain available throughout the session': footer Privacy/Terms links are dead. Link them to the existing legal text.</t>
  </si>
  <si>
    <t xml:space="preserve">DONE footer links to legal.html on every page.</t>
  </si>
  <si>
    <t xml:space="preserve">Modules: Staff roles (p.45-46)</t>
  </si>
  <si>
    <t xml:space="preserve">Lists 'void authorization' for Branch Manager and Technical Staff: needs the void feature. 'Sales Staff: product catalog viewing only': see REQ121 decision.</t>
  </si>
  <si>
    <t xml:space="preserve">DONE 57f4d80: void built for BM/Technical; Sales Staff POS-only.</t>
  </si>
  <si>
    <t xml:space="preserve">REQ001 registration, Scope and Limitations</t>
  </si>
  <si>
    <t xml:space="preserve">Phone number verification by SMS code: on hold (every SMS costs money; Amson doesn't want to spend)</t>
  </si>
  <si>
    <t xml:space="preserve">Limitation</t>
  </si>
  <si>
    <t xml:space="preserve">Paper: state in Limitations (number format checked, not ownership) and in Recommendations (SMS OTP).</t>
  </si>
  <si>
    <t xml:space="preserve">Chapter 3 evaluation (Objective 4)</t>
  </si>
  <si>
    <t xml:space="preserve">Evaluation survey questionnaires: Branch Manager, Technical Staff, Sales Staff and User forms, mapped to TAM + ISO/IEC 25010</t>
  </si>
  <si>
    <t xml:space="preserve">DONE Claude Docs, 2026-10-22. In Claude Docs ('Survey Questionnaires (Admin and User)'); maintainability covered by the developers' testing (no IT expert form).</t>
  </si>
  <si>
    <t xml:space="preserve">REQ001-005 registration/login, REQ095-100 payment verification, Scope and Limitations</t>
  </si>
  <si>
    <t xml:space="preserve">Known limits that need a server (paid Blaze plan): a technical customer can mark their own email/device as verified, and order totals are worked out in the browser (staff still verify every payment against the items; the price-mismatch warning shows)</t>
  </si>
  <si>
    <t xml:space="preserve">Paper: state in Limitations (client-side checks; payment verified by staff).</t>
  </si>
  <si>
    <t xml:space="preserve">REQ007 / Technical Background p.35-36</t>
  </si>
  <si>
    <t xml:space="preserve">Password reset link is sent by Firebase Authentication, not EmailJS.</t>
  </si>
  <si>
    <t xml:space="preserve">Paper edit</t>
  </si>
  <si>
    <t xml:space="preserve">See Contradictions / Paper Edits</t>
  </si>
  <si>
    <t xml:space="preserve">REQ008 p.47; Modules p.38</t>
  </si>
  <si>
    <t xml:space="preserve">Drop 'promotions' unless you plan them; keep 'announcements' (banner to be built).</t>
  </si>
  <si>
    <t xml:space="preserve">REQ031 p.50</t>
  </si>
  <si>
    <t xml:space="preserve">Replace status list with: Pending Verification, Payment Confirmed, Dispatched / Ready for Pick-up, Delivered, Received / Picked Up, On Hold (with type), Closed (Unresolved).</t>
  </si>
  <si>
    <t xml:space="preserve">REQ073 p.55</t>
  </si>
  <si>
    <t xml:space="preserve">Add 'and the stated reason' (client requirement, Interview 2) - after the reason field is built.</t>
  </si>
  <si>
    <t xml:space="preserve">REQ083 p.56; Fig 2.6 text p.73; Fig 2.14 text p.89</t>
  </si>
  <si>
    <t xml:space="preserve">Void applies to completed transactions, referencing the original receipt number (C4).</t>
  </si>
  <si>
    <t xml:space="preserve">REQ085, REQ087 p.57; Modules p.44</t>
  </si>
  <si>
    <t xml:space="preserve">Default wholesale price per product, adjustable per order (C9).</t>
  </si>
  <si>
    <t xml:space="preserve">REQ095, REQ098 p.58-59; Fig 2.6 text p.74; Fig 2.11 text p.83</t>
  </si>
  <si>
    <t xml:space="preserve">Overpayment is approved and the excess is added to the customer's store credit; three hold types plus overpayment-approval (C2).</t>
  </si>
  <si>
    <t xml:space="preserve">REQ105 p.60; Fig 2.4 text p.71; Modules p.39-40</t>
  </si>
  <si>
    <t xml:space="preserve">Delivered is set by staff (or automatically after 3 days); the customer's confirmation marks it Received (C1).</t>
  </si>
  <si>
    <t xml:space="preserve">REQ121 p.61</t>
  </si>
  <si>
    <t xml:space="preserve">Only if you keep Sales Staff access to Walk-in Orders history: add it to REQ121.</t>
  </si>
  <si>
    <t xml:space="preserve">Fig 2.2 text p.67</t>
  </si>
  <si>
    <t xml:space="preserve">Audit log is available to Technical Staff and Branch Manager (C6).</t>
  </si>
  <si>
    <t xml:space="preserve">Fig 2.2 diagram</t>
  </si>
  <si>
    <t xml:space="preserve">Connect 'Manage Live Chat' to Technical Staff; add missing bubbles or label as summary (C11); one name for the pre-order use case (C12).</t>
  </si>
  <si>
    <t xml:space="preserve">Fig 2.5 text p.72</t>
  </si>
  <si>
    <t xml:space="preserve">Technical Staff opens/counts; Branch Manager finalizes (C5).</t>
  </si>
  <si>
    <t xml:space="preserve">Fig 2.2 / 2.7 diagrams</t>
  </si>
  <si>
    <t xml:space="preserve">Overpayment, free-of-cost distribution: no bubble anywhere; add 'Record Free-of-Cost Distribution' under Manage Wholesale Accounts if REQ091 stays.</t>
  </si>
  <si>
    <t xml:space="preserve">Fig 2.8 diagram + text p.76-77</t>
  </si>
  <si>
    <t xml:space="preserve">Add reCAPTCHA, locked-account check, deactivated-account check, unverified-email redirect; make the wrong-OTP path match the text (C13).</t>
  </si>
  <si>
    <t xml:space="preserve">Fig 2.9 diagram + text p.78-79</t>
  </si>
  <si>
    <t xml:space="preserve">Terms accepted before submit, duplicate email caught at account creation (C14); add Resend Code; end at the shop, signed in (C10).</t>
  </si>
  <si>
    <t xml:space="preserve">Fig 2.10 diagram</t>
  </si>
  <si>
    <t xml:space="preserve">Move the RX decision to the start of checkout; RX skips the address; add Upload Prescription Photo (C15); optionally add delivery schedule and store credit.</t>
  </si>
  <si>
    <t xml:space="preserve">Fig 2.11 diagram + text p.82-83</t>
  </si>
  <si>
    <t xml:space="preserve">Prescription approval/rejection before confirmation (C3, after it is built); RX skips courier steps (C17); resolved holds return to admin review (C18); stock shortage -&gt; Out of Stock hold (C19); overpayment approved with credit (C2); expired holds closed by the System lane, credit kept.</t>
  </si>
  <si>
    <t xml:space="preserve">Title page / cover (i)</t>
  </si>
  <si>
    <t xml:space="preserve">Still labelled 'Capstone Project Proposal' dated May 16, 2026; update the label and date for the final manuscript.</t>
  </si>
  <si>
    <t xml:space="preserve">Whole paper (-)</t>
  </si>
  <si>
    <t xml:space="preserve">About 100 'will ...' sentences are written as a proposal. Ask the adviser whether the final manuscript should switch to past/present tense, then convert.</t>
  </si>
  <si>
    <t xml:space="preserve">The three compared systems are named but not cited in that section: J1TEK = Binag et al. (2024), Online Transporter = Llorente et al. (2022), Bandung FEFO = Malasari &amp; Sudrajat (2023). Binag and Llorente are in the reference list but cited nowhere in the text.</t>
  </si>
  <si>
    <t xml:space="preserve">Conceptual Framework (Input) (p.25)</t>
  </si>
  <si>
    <t xml:space="preserve">Says wholesale buyers' info is captured during account registration and that wholesale purchase orders are submitted through the platform. Wholesale buyers don't register or order online; staff record them.</t>
  </si>
  <si>
    <t xml:space="preserve">Methodology: sprint plan (p.30-35)</t>
  </si>
  <si>
    <t xml:space="preserve">Phases promise features that aren't built (device OTP, notifications by email, thermal printing, live chat, reports). Align with final decisions.</t>
  </si>
  <si>
    <t xml:space="preserve">Calendar of Activities (p.96-98)</t>
  </si>
  <si>
    <t xml:space="preserve">Lists a 'Fifth Interview', but the appendices only have four transcripts (J-M). Add the transcript and proof, or remove the row.</t>
  </si>
  <si>
    <t xml:space="preserve">Month header has no year. Update the bars to actual dates. The webapp branch history starts 2026-08-31 (earlier work isn't in this git history), so the team needs to fill earlier dates.</t>
  </si>
  <si>
    <t xml:space="preserve">Price list</t>
  </si>
  <si>
    <t xml:space="preserve">Two price-list items have no price: Zardip Duo 40/5 (Telmisartan + Amlodipine) and Zincbos (Zinc Sulfate syrup)</t>
  </si>
  <si>
    <t xml:space="preserve">Low</t>
  </si>
  <si>
    <t xml:space="preserve">Left out of the upload files; add by hand once priced.</t>
  </si>
  <si>
    <t xml:space="preserve">REQ088</t>
  </si>
  <si>
    <t xml:space="preserve">Hide costing/wholesale prices from public reads</t>
  </si>
  <si>
    <t xml:space="preserve">DECIDED (revised): build it to avoid a removal letter.</t>
  </si>
  <si>
    <t xml:space="preserve">Interview 1</t>
  </si>
  <si>
    <t xml:space="preserve">Park/hold a walk-in sale ('keep') while serving the next customer</t>
  </si>
  <si>
    <t xml:space="preserve">DECIDED: future work. Client's current POS practice; not in the paper.</t>
  </si>
  <si>
    <t xml:space="preserve">Report Formats sheet (CREDIT terms)</t>
  </si>
  <si>
    <t xml:space="preserve">Credit sales follow-up (who owes what, mark as paid)</t>
  </si>
  <si>
    <t xml:space="preserve">DECIDED: future work. Not in the paper; ask the client if the main office tracks collections instead.</t>
  </si>
  <si>
    <t xml:space="preserve">Report Formats sheet (daily Sales section)</t>
  </si>
  <si>
    <t xml:space="preserve">Pay-in / pay-out (cash drawer in and out) recorded per day</t>
  </si>
  <si>
    <t xml:space="preserve">DECIDED: future work. Both were 0.00 on the sample day; ask if it's used.</t>
  </si>
  <si>
    <t xml:space="preserve">Technical Background (p.35)</t>
  </si>
  <si>
    <t xml:space="preserve">States the AI assistant won't give medical advice: keep only if chat is built.</t>
  </si>
  <si>
    <t xml:space="preserve">DONE chat is built; keep the sentence.</t>
  </si>
  <si>
    <t xml:space="preserve">REQ013, REQ068</t>
  </si>
  <si>
    <t xml:space="preserve">Dosage/usage notes field on products</t>
  </si>
  <si>
    <t xml:space="preserve">DONE 06574da.</t>
  </si>
  <si>
    <t xml:space="preserve">REQ049</t>
  </si>
  <si>
    <t xml:space="preserve">Supplier column in the inventory batch table</t>
  </si>
  <si>
    <t xml:space="preserve">REQ103, REQ107</t>
  </si>
  <si>
    <t xml:space="preserve">Delivery: 'copy all' including preferred schedule + order no.; internal delivery notes</t>
  </si>
  <si>
    <t xml:space="preserve">DONE 06574da. Use the notes for rider name/plate/number, which staff currently screenshot privately (Interviews 2-3).</t>
  </si>
  <si>
    <t xml:space="preserve">REQ116</t>
  </si>
  <si>
    <t xml:space="preserve">Customer Accounts: list of the customer's orders</t>
  </si>
  <si>
    <t xml:space="preserve">DONE 847c877.</t>
  </si>
  <si>
    <t xml:space="preserve">REQ118</t>
  </si>
  <si>
    <t xml:space="preserve">Staff creation uses shared validators; stop silent Administrator -&gt; Branch Manager change</t>
  </si>
  <si>
    <t xml:space="preserve">DONE 847c877. From the first review.</t>
  </si>
  <si>
    <t xml:space="preserve">REQ070</t>
  </si>
  <si>
    <t xml:space="preserve">Category rename: replace native prompt() with app dialog</t>
  </si>
  <si>
    <t xml:space="preserve">DONE category tools commit: rename uses the app dialog; deleting a category can move its products. From the first review.</t>
  </si>
  <si>
    <t xml:space="preserve">REQ033, REQ093</t>
  </si>
  <si>
    <t xml:space="preserve">Receipt only after verification; show subtotal/credit applied on PDF</t>
  </si>
  <si>
    <t xml:space="preserve">DONE 082ec92. From the first review.</t>
  </si>
  <si>
    <t xml:space="preserve">REQ099</t>
  </si>
  <si>
    <t xml:space="preserve">'Payment not received' as its own hold type</t>
  </si>
  <si>
    <t xml:space="preserve">REQ026</t>
  </si>
  <si>
    <t xml:space="preserve">Checkout pick-up notice mentions bringing the original prescription</t>
  </si>
  <si>
    <t xml:space="preserve">DONE 082ec92.</t>
  </si>
  <si>
    <t xml:space="preserve">REQ009</t>
  </si>
  <si>
    <t xml:space="preserve">Show quantity in stock on catalog cards</t>
  </si>
  <si>
    <t xml:space="preserve">REQ040</t>
  </si>
  <si>
    <t xml:space="preserve">Profile picture in Account Settings</t>
  </si>
  <si>
    <t xml:space="preserve">REQNF028</t>
  </si>
  <si>
    <t xml:space="preserve">One date formatter (MM/DD/YYYY, 12-hour) across all screens</t>
  </si>
  <si>
    <t xml:space="preserve">REQ047</t>
  </si>
  <si>
    <t xml:space="preserve">Dashboard 'Active Online Orders' excludes delivered/closed</t>
  </si>
  <si>
    <t xml:space="preserve">DONE d9fc96b: counts verified + dispatched only. From the first review.</t>
  </si>
  <si>
    <t xml:space="preserve">REQNF017</t>
  </si>
  <si>
    <t xml:space="preserve">README with setup steps; fix the error message that points to it</t>
  </si>
  <si>
    <t xml:space="preserve">DONE 77336f3. From the first review.</t>
  </si>
  <si>
    <t xml:space="preserve">REQ001</t>
  </si>
  <si>
    <t xml:space="preserve">Normalize phone number at registration</t>
  </si>
  <si>
    <t xml:space="preserve">DONE d9fc96b. From the first review.</t>
  </si>
  <si>
    <t xml:space="preserve">REQ008; Interview 1</t>
  </si>
  <si>
    <t xml:space="preserve">Store announcements + promotions banner, editable by staff (e.g. closure days)</t>
  </si>
  <si>
    <t xml:space="preserve">DONE Settings -&gt; Store Announcement; shown under the header on shop pages.</t>
  </si>
  <si>
    <t xml:space="preserve">REQ031</t>
  </si>
  <si>
    <t xml:space="preserve">Show invalid-payment holds to customers as 'Payment Rejected - re-upload needed'</t>
  </si>
  <si>
    <t xml:space="preserve">DONE d9fc96b: customer badges show Payment Rejected / Balance Due / Out of Stock / Prescription Rejected. Keeps the paper's status name (no letter).</t>
  </si>
  <si>
    <t xml:space="preserve">Technical Background p.35-37</t>
  </si>
  <si>
    <t xml:space="preserve">Inventory movement chart on the dashboard (stock in/out over the period)</t>
  </si>
  <si>
    <t xml:space="preserve">Built (stock in vs out), then removed at the team's request 2026-10-21 - see the Removals sheet. Keeps the Chart.js claim (no letter).</t>
  </si>
  <si>
    <t xml:space="preserve">Modules p.42</t>
  </si>
  <si>
    <t xml:space="preserve">Price lock/unlock toggle per product (Branch Manager only)</t>
  </si>
  <si>
    <t xml:space="preserve">DONE Lock/Unlock prices button for the Branch Manager in Edit Product. Keeps 'price locking' (no letter).</t>
  </si>
  <si>
    <t xml:space="preserve">Theoretical Framework p.23</t>
  </si>
  <si>
    <t xml:space="preserve">Browser notifications for staff alerts (new order, pending payment, expiry, low stock)</t>
  </si>
  <si>
    <t xml:space="preserve">DONE Notifications -&gt; Turn on desktop alerts; each new alert pops up once. Keeps the 'push notifications' claim (no letter).</t>
  </si>
  <si>
    <t xml:space="preserve">REQ039, Fig 2.10, C16</t>
  </si>
  <si>
    <t xml:space="preserve">Order-placed notification in the customer's bell (no database rule change needed if derived from order status)</t>
  </si>
  <si>
    <t xml:space="preserve">DONE written at checkout (rule allows only the customer's own 'order_placed' notice).</t>
  </si>
  <si>
    <t xml:space="preserve">REQ004</t>
  </si>
  <si>
    <t xml:space="preserve">Login lockout counter can be reset by anyone (public loginAttempts collection)</t>
  </si>
  <si>
    <t xml:space="preserve">Lockout works for normal use. 7fdbde9 (published 2026-10-24) stops anyone locking an address for good (only count + lockedUntil, at most 10 min ahead), but the counter can still be deleted before login, so a determined attacker could clear it. Mention as a limitation if not fixed.</t>
  </si>
  <si>
    <t xml:space="preserve">Inventory module</t>
  </si>
  <si>
    <t xml:space="preserve">Inventory list: drop the 'Never received' placeholder rows</t>
  </si>
  <si>
    <t xml:space="preserve">DONE 66b8b2e. Products never stocked no longer show as empty batch rows.</t>
  </si>
  <si>
    <t xml:space="preserve">REQ001 registration validation</t>
  </si>
  <si>
    <t xml:space="preserve">Name fields allow periods and dashes (Ma. Clara, Juan P. Cruz, Jr., Anne-Marie)</t>
  </si>
  <si>
    <t xml:space="preserve">DONE 010449e, 8ce4aa0. Same rule on register, account settings, staff and admin settings.</t>
  </si>
  <si>
    <t xml:space="preserve">Checkout module, REQ019</t>
  </si>
  <si>
    <t xml:space="preserve">Checkout: Same Day Delivery wording and a notice that the Lalamove fee is paid to the rider</t>
  </si>
  <si>
    <t xml:space="preserve">DONE 010449e.</t>
  </si>
  <si>
    <t xml:space="preserve">EmailJS (Technical Background)</t>
  </si>
  <si>
    <t xml:space="preserve">Settings: Email Test button that shows EmailJS's reply</t>
  </si>
  <si>
    <t xml:space="preserve">DONE 4eca895. Found the order template was missing To Email {{to_email}} - set it in the EmailJS dashboard before go-live.</t>
  </si>
  <si>
    <t xml:space="preserve">Shopping cart module</t>
  </si>
  <si>
    <t xml:space="preserve">Cart page: 'You May Also Like' product suggestions under the cart items</t>
  </si>
  <si>
    <t xml:space="preserve">DONE 1581610. Team request 2026-10-21 (like Shopee).</t>
  </si>
  <si>
    <t xml:space="preserve">Notification module</t>
  </si>
  <si>
    <t xml:space="preserve">Notifications: filter by Orders / Stock / Live Chat, newest first, mark read per filter</t>
  </si>
  <si>
    <t xml:space="preserve">DONE 1581610. Team request 2026-10-21.</t>
  </si>
  <si>
    <t xml:space="preserve">Inventory: 'Quantity' renamed to 'Available Inventory' (table and export)</t>
  </si>
  <si>
    <t xml:space="preserve">All PDF exports</t>
  </si>
  <si>
    <t xml:space="preserve">PDFs printed the peso sign as a broken character - now 'PHP'</t>
  </si>
  <si>
    <t xml:space="preserve">DONE a3f410b. jsPDF's built-in fonts have no peso sign.</t>
  </si>
  <si>
    <t xml:space="preserve">Online order module</t>
  </si>
  <si>
    <t xml:space="preserve">Online Orders: Reference No. and SI No. columns (searchable); order date and time shown in Payment Verification</t>
  </si>
  <si>
    <t xml:space="preserve">DONE 2a52561, 8d5a42e. Team request 2026-10-21.</t>
  </si>
  <si>
    <t xml:space="preserve">Dashboard module, Reports module</t>
  </si>
  <si>
    <t xml:space="preserve">Reports moved out of the Orders tab: all reports open from the dashboard Reports panel</t>
  </si>
  <si>
    <t xml:space="preserve">DONE 2a52561. Team request 2026-10-21. Paper: if the Orders module text mentions an export there, point it to Reports.</t>
  </si>
  <si>
    <t xml:space="preserve">Dashboard module, sequential SI</t>
  </si>
  <si>
    <t xml:space="preserve">Dashboard: Find a Sale by SI No. (walk-in, online and wholesale)</t>
  </si>
  <si>
    <t xml:space="preserve">DONE 8d5a42e. Every sale gets an SI No.; online orders keep their order/reference numbers too.</t>
  </si>
  <si>
    <t xml:space="preserve">Go-live</t>
  </si>
  <si>
    <t xml:space="preserve">Temporary Clear Test Data page (Branch Manager / Administrator) and its delete rule; both switch off 2026-11-15</t>
  </si>
  <si>
    <t xml:space="preserve">DONE 77fdd25, 112ce91 (published 2026-10-24; switches off 2026-11-15). Remove the page, its Settings card and the TEMPORARY rule block after go-live; not part of the paper.</t>
  </si>
  <si>
    <t xml:space="preserve">Tech Stack (free plans), REQNF013</t>
  </si>
  <si>
    <t xml:space="preserve">Watch Firestore usage after go-live: Dashboard and Reports still read the full sales history on each visit</t>
  </si>
  <si>
    <t xml:space="preserve">Fine at one branch's volume; if the 50,000 reads/day limit gets close, limit them to the chosen period. 2026-10-25: catalog, bell and dashboard now read through live listeners with a browser copy (#194); Reports still read their period.</t>
  </si>
  <si>
    <t xml:space="preserve">Report Formats (Supplier Purchases, Monthly Inventory), Scope p.6</t>
  </si>
  <si>
    <t xml:space="preserve">No grocery / non-medical items (client, 2026-10-22): Grocery removed from the default categories; Supplier Purchases is one sheet</t>
  </si>
  <si>
    <t xml:space="preserve">DONE 19118db. Delete a 'Grocery' category already in Firebase via Manage Categories.</t>
  </si>
  <si>
    <t xml:space="preserve">Report Formats, Scope p.6</t>
  </si>
  <si>
    <t xml:space="preserve">Categories confirmed from Amson's own files: price list = Generics + Medical Supplies; month-end report also has Branded and Drugstore (Per Piece); no Grocery</t>
  </si>
  <si>
    <t xml:space="preserve">DONE no code change needed beyond 19118db. System defaults match; per-piece items in the price list are medical supplies and stay there.</t>
  </si>
  <si>
    <t xml:space="preserve">Bulk photo upload (Products &gt; Upload Photos): pick many photos at once, each matched to a product by its file name (brand, strength, form, or SKU), staff check/change every match, then all are shrunk, uploaded to Cloudinary and saved together; audit-logged</t>
  </si>
  <si>
    <t xml:space="preserve">DONE 17d8caa. Branch Manager and Technical Staff (not Sales Staff). Ambiguous names (e.g. 'cetirizine.jpg' when there's a tablet and a syrup) are left for staff to choose; two photos for one product are blocked. Paper (optional): one sentence under REQ064 / Product Management.</t>
  </si>
  <si>
    <t xml:space="preserve">REQ064 batch upload, Product Management module, REQNF usability</t>
  </si>
  <si>
    <t xml:space="preserve">Products page UI: Upload Photos is a two-step modal (choose/drop photos with naming tips, then check matches with filters and a searchable product picker); progress and result pop-ups for photo saving and batch import (import result offers Add photos, failed rows kept for retry); batch import audit-logged</t>
  </si>
  <si>
    <t xml:space="preserve">DONE 93635fd. Client/team feedback 2026-10-23: it was hard to tell when an import had finished.</t>
  </si>
  <si>
    <t xml:space="preserve">REQ059-061 stock count, Inventory module</t>
  </si>
  <si>
    <t xml:space="preserve">View past stock counts: each finished count opens with its month, who started/finalized it and when, totals (matched, differences, units short/over), the reason, every batch line, a Differences-only filter, search and PDF/Excel export</t>
  </si>
  <si>
    <t xml:space="preserve">DONE 2ceab34. Client request 2026-10-24.</t>
  </si>
  <si>
    <t xml:space="preserve">REQ088 wholesale prices admin-only, Limitations</t>
  </si>
  <si>
    <t xml:space="preserve">Costing/wholesale prices and batch unit costs are readable by anyone through the public catalog and stock data</t>
  </si>
  <si>
    <t xml:space="preserve">Fix: move costing/wholesale prices to a staff-only collection (moderate change), or state in Limitations.</t>
  </si>
  <si>
    <t xml:space="preserve">System roles (-)</t>
  </si>
  <si>
    <t xml:space="preserve">The system also has a legacy 'Administrator' role that the paper never mentions. Hide it from the UI or document it.</t>
  </si>
  <si>
    <t xml:space="preserve">Whole paper + system (-)</t>
  </si>
  <si>
    <t xml:space="preserve">'QR PH' in the paper and most screens, 'QR Ph' on the payment page image text. The official name is 'QR Ph'; pick one everywhere.</t>
  </si>
  <si>
    <t xml:space="preserve">REQ005, REQ044</t>
  </si>
  <si>
    <t xml:space="preserve">New-device code is checked in the browser, not by the database rules</t>
  </si>
  <si>
    <t xml:space="preserve">Stops normal use of a stolen password; a technical attacker could skip it. State this in Limitations.</t>
  </si>
  <si>
    <t xml:space="preserve">REQ090</t>
  </si>
  <si>
    <t xml:space="preserve">Known, not fixed: two wholesale exchanges on the same order line at the same second can mix up which batch a later return goes back to (stock totals stay right)</t>
  </si>
  <si>
    <t xml:space="preserve">Rare; same-second exchanges on one line.</t>
  </si>
  <si>
    <t xml:space="preserve">Known, not fixed: if creating a staff account fails after the login is made, the email can't be reused until the login is removed in the Firebase console</t>
  </si>
  <si>
    <t xml:space="preserve">Needs a server function to clean up; note in the user manual.</t>
  </si>
  <si>
    <t xml:space="preserve">Technical Background (Chart.js 'inventory movement data'), Dashboard module</t>
  </si>
  <si>
    <t xml:space="preserve">Inventory Movement chart removed from the dashboard at the team's request (2026-10-21)</t>
  </si>
  <si>
    <t xml:space="preserve">Removed</t>
  </si>
  <si>
    <t xml:space="preserve">Paper: drop 'inventory movement data' from the Chart.js line, or note it in the panel letter; stock in/out is still in the Inventory page and reports.</t>
  </si>
  <si>
    <t xml:space="preserve">REQ059-061, Fig 2.2 / 2.5 'Month-End Stock Reconciliation', Modules (Inventory), Theoretical Framework p.24</t>
  </si>
  <si>
    <t xml:space="preserve">'Stock Reconciliation' renamed 'Stock Count' on every screen, message and audit entry (new count numbers SC-YYYY-NN)</t>
  </si>
  <si>
    <t xml:space="preserve">System done 2026-10-24. Paper: rename to 'Stock Count' (or 'Month-End Stock Count') in REQ059-061, Fig 2.2 and 2.5 and the Modules text, or write 'stock count (reconciliation)' once. Wording only - no letter.</t>
  </si>
  <si>
    <t xml:space="preserve">Modules FEFO p.41</t>
  </si>
  <si>
    <t xml:space="preserve">Add the 2-month Bad Order step (C7).</t>
  </si>
  <si>
    <t xml:space="preserve">Technical Background p.35-37; Budget p.99</t>
  </si>
  <si>
    <t xml:space="preserve">Cloudinary instead of Firebase Storage; Choices.js added; DataTable removed; hosting per decision (Tech Stack sheet).</t>
  </si>
  <si>
    <t xml:space="preserve">Scope p.6; Product Browsing REQ009</t>
  </si>
  <si>
    <t xml:space="preserve">The client also sells medical supplies (grocery items are dropped, client 2026-10-22); the paper only mentions OTC/prescription medicines. Mention medical supplies.</t>
  </si>
  <si>
    <t xml:space="preserve">Adds</t>
  </si>
  <si>
    <t xml:space="preserve">Scope and Limitations p.7</t>
  </si>
  <si>
    <t xml:space="preserve">Add: system receipts/invoices are internal records, not BIR-registered official receipts; BIR/VAT receipts stay manual on request; no BIR or government integration (client policy, Interview 1).</t>
  </si>
  <si>
    <t xml:space="preserve">Decision-dependent</t>
  </si>
  <si>
    <t xml:space="preserve">Live chat/AI (Obj. 1, Scope, Framework, REQ035-038, REQ108-110, NF008, NF012); real-time refresh (NF005); hosting (NF013); wholesale price visibility (REQ088).</t>
  </si>
  <si>
    <t xml:space="preserve">DECIDED: build it on Gemini via Firebase AI Logic (free tier), swappable to Groq; FAQ answers without AI calls; staff handoff when the free limit is hit. Verify the project's limit in AI Studio first. See Contradictions / Paper Edits</t>
  </si>
  <si>
    <t xml:space="preserve">Spelling consistency: 'Fulfilment' on the cover vs 'fulfillment' elsewhere.</t>
  </si>
  <si>
    <t xml:space="preserve">Scope (p.6)</t>
  </si>
  <si>
    <t xml:space="preserve">'Intended to serve retail customers, wholesale clients, branch staff, and main office management': wholesale clients and the main office never log in. Reword to 'staff record wholesale transactions; reports are submitted to the main office'.</t>
  </si>
  <si>
    <t xml:space="preserve">Theoretical Framework (p.22-23)</t>
  </si>
  <si>
    <t xml:space="preserve">Mentions 'instantaneous push notifications for near-expiry supplies'; the system has an in-app notification bell, not push notifications. Reword.</t>
  </si>
  <si>
    <t xml:space="preserve">DONE Desktop alerts now built; wording can stay (or say 'desktop alerts').</t>
  </si>
  <si>
    <t xml:space="preserve">Methodology: sprint plan (p.32)</t>
  </si>
  <si>
    <t xml:space="preserve">Phase 4 (customer side) lists the 'one-click copy feature for delivery details' under My Orders; that's an admin Delivery feature (also listed in Phase 6). Remove it from Phase 4.</t>
  </si>
  <si>
    <t xml:space="preserve">Say 'Cloud Firestore' instead of 'real-time database', and Cloudinary instead of Firebase cloud storage for images.</t>
  </si>
  <si>
    <t xml:space="preserve">Technical Background (p.35-36)</t>
  </si>
  <si>
    <t xml:space="preserve">EmailJS listed for order confirmations and password reset links: password reset is Firebase Auth; order emails depend on REQ039.</t>
  </si>
  <si>
    <t xml:space="preserve">Chart.js listed for 'inventory movement data': dashboard charts are sales only (inventory uses count tiles). Reword or add an inventory chart.</t>
  </si>
  <si>
    <t xml:space="preserve">DataTable listed; tables are custom-built. Remove or reword.</t>
  </si>
  <si>
    <t xml:space="preserve">Technical Background: Software (p.36-38)</t>
  </si>
  <si>
    <t xml:space="preserve">Missing tools actually used: Cloudinary (images), Choices.js (searchable dropdowns), Bootstrap Icons, Google Fonts (Roboto), Git/GitHub (version control), Node.js http-server (local serving).</t>
  </si>
  <si>
    <t xml:space="preserve">Technical Background: Software (p.38)</t>
  </si>
  <si>
    <t xml:space="preserve">Canva is listed for mockups, but the Gantt chart says 'Creation of Figma'. Use one tool name.</t>
  </si>
  <si>
    <t xml:space="preserve">Modules: Price Management (p.42)</t>
  </si>
  <si>
    <t xml:space="preserve">'Allows price locking': the lock is the Branch Manager-only rule (no separate lock switch). Reword, or add a lock toggle.</t>
  </si>
  <si>
    <t xml:space="preserve">DONE No paper change needed: the Branch Manager has a Lock/Unlock prices toggle per product.</t>
  </si>
  <si>
    <t xml:space="preserve">Wireframes (Figs 2.16-2.21) (p.92-95)</t>
  </si>
  <si>
    <t xml:space="preserve">Not compared yet. Replace with real screenshots, or keep them labelled as early wireframes.</t>
  </si>
  <si>
    <t xml:space="preserve">Calendar of Activities (p.97-98)</t>
  </si>
  <si>
    <t xml:space="preserve">Add rows for work actually done (POS, inventory, payment verification, wholesale, reports, testing) and mark 'System Deployment' per the hosting decision.</t>
  </si>
  <si>
    <t xml:space="preserve">Budgetary Estimate (p.99)</t>
  </si>
  <si>
    <t xml:space="preserve">Total ₱31,790.08 checks out. Missing: Cloudinary (free), OpenAI API (pay-per-use, if chat is built), thermal printer (if printing is in scope).</t>
  </si>
  <si>
    <t xml:space="preserve">Domain name ₱841.08 and Firebase Blaze ₱200: keep only if actually bought/used. Netlify is listed as free, but deployment was blocked by billing; make these consistent.</t>
  </si>
  <si>
    <t xml:space="preserve"> UPDATE 2026-10-25: hosting is Firebase Hosting (free), not Netlify; Blaze recommended as pay-as-you-go on the team card's Google Cloud trial credit - see #194.</t>
  </si>
  <si>
    <t xml:space="preserve">References (p.100)</t>
  </si>
  <si>
    <t xml:space="preserve">Davis reference is written 'Fred D. Davis. (1989)'; APA is 'Davis, F. D. (1989).'</t>
  </si>
  <si>
    <t xml:space="preserve">References (p.10 / refs)</t>
  </si>
  <si>
    <t xml:space="preserve">'The Generics Pharmacy (TGP) Sumulong Case Study (2024)' is cited without an author; check the APA author/organization format.</t>
  </si>
  <si>
    <t xml:space="preserve">References (p.17 / refs)</t>
  </si>
  <si>
    <t xml:space="preserve">Sardjono et al. (2023) is described as an Agile-based study, but its listed title is about Track and Trace in Pharma 4.0. Verify the source matches the summary.</t>
  </si>
  <si>
    <t xml:space="preserve">Appendices (p.124)</t>
  </si>
  <si>
    <t xml:space="preserve">List of Appendices says 'PayMongo Pricing' / 'Lalamove API Instruction'; the appendix pages say 'PayMongo Pricing Limitation' / 'Lalamove API Limitation'. Match titles.</t>
  </si>
  <si>
    <t xml:space="preserve">Table of Contents / List of Figures (p.iv-vi)</t>
  </si>
  <si>
    <t xml:space="preserve">Regenerate page numbers after all edits.</t>
  </si>
  <si>
    <t xml:space="preserve">REQNF011, REQ098 store credit, REQ083/REQ122 voids, REQ004 lockout</t>
  </si>
  <si>
    <t xml:space="preserve">Rules fix: one store-credit deduction could pay for two orders; Sales Staff could delete or void POS sales; anyone could lock an address (e.g. the Branch Manager) out for good via loginAttempts; prescriptionOrders accepted creates</t>
  </si>
  <si>
    <t xml:space="preserve">DONE 7fdbde9; 19 emulator tests pass. Published to amson-web-app 2026-10-24 (live rules = 7fdbde9).</t>
  </si>
  <si>
    <t xml:space="preserve">Go-live; REQNF013 hosting</t>
  </si>
  <si>
    <t xml:space="preserve">Firebase Auth authorized domains include the hosting address</t>
  </si>
  <si>
    <t xml:space="preserve">DONE: amson-web-app.web.app is already authorized. Add any custom domain later.</t>
  </si>
  <si>
    <t xml:space="preserve">REQNF013 recovery (p.63-64)</t>
  </si>
  <si>
    <t xml:space="preserve">Firestore delete protection is off, and there is no point-in-time recovery or backup</t>
  </si>
  <si>
    <t xml:space="preserve">Checked 2026-10-24. Turn on delete protection (free; Firestore &gt; Settings). The free Spark plan has no scheduled backups or PITR: export data regularly, or state it in Limitations. 2026-10-25: delete protection ENABLED (Firestore database settings). Still no scheduled backups/PITR on the free plan.</t>
  </si>
  <si>
    <t xml:space="preserve">Adds (Limitations) if no backups</t>
  </si>
  <si>
    <t xml:space="preserve">REQNF011 security</t>
  </si>
  <si>
    <t xml:space="preserve">Restrict the browser API key to the Netlify domain (HTTP referrers) in Google Cloud &gt; APIs &amp; Services &gt; Credentials</t>
  </si>
  <si>
    <t xml:space="preserve">Not checked: the API Keys API is off in the project. The key is public by design; the restriction stops other sites using the project's quota.</t>
  </si>
  <si>
    <t xml:space="preserve">Staff accounts (prices, voids, staff management) have no 2-step verification; MFA is off in Firebase Auth</t>
  </si>
  <si>
    <t xml:space="preserve">Checked 2026-10-24. Not in the paper; mention if asked. Firebase MFA needs the Identity Platform upgrade (SMS costs).</t>
  </si>
  <si>
    <t xml:space="preserve">REQNF004, REQNF005, Firestore free quota</t>
  </si>
  <si>
    <t xml:space="preserve">Firestore reads: with the full 1,130-product catalog each staff page view re-read every product and batch (~4,000 reads), so the free 50,000/day could run out mid-shift</t>
  </si>
  <si>
    <t xml:space="preserve">DONE 2026-10-25: browser copy (IndexedDB) + live listeners for the catalog, bell, dashboard tiles and expiry rules; pages wait for server-confirmed data, then later visits download only changes. POS waits for its own sale's change. Off switch: LIVE_READS in js/firebase-config.js. Checked: 7 real-time multi-user checks, 34 flow checks, every page per role, phones - with the switch on and off. Blaze (team card, trial credit) recommended as a safety net; confirm read counts on the usage page after the catalog is loaded.</t>
  </si>
  <si>
    <t xml:space="preserve">REQ082 POS</t>
  </si>
  <si>
    <t xml:space="preserve">POS product list kept the old stock numbers after each sale (Choices put the old options back when rebuilt)</t>
  </si>
  <si>
    <t xml:space="preserve">DONE 2026-10-25: list rebuilt after the old one is destroyed; checked 183 -&gt; 178 after a 5-unit sale.</t>
  </si>
  <si>
    <t xml:space="preserve">Running costs</t>
  </si>
  <si>
    <t xml:space="preserve">Client cannot pay running costs: system must run on free plans (cost note shared: Amson System: Running Costs)</t>
  </si>
  <si>
    <t xml:space="preserve">Free plans: Firebase Hosting, Firestore, Auth, EmailJS 200/month, Cloudinary, Gemini. Blaze only as a safety net on the team's trial credit; move billing to Amson or back to free before the credit ends. Order emails kept in full (team decision 2026-10-25): EmailJS free 200/month covers about 40-50 online orders plus sign-ups; every update also shows in the in-site bell.</t>
  </si>
  <si>
    <t xml:space="preserve">Budget p.99, Limitations</t>
  </si>
  <si>
    <t xml:space="preserve">ID</t>
  </si>
  <si>
    <t xml:space="preserve">Module</t>
  </si>
  <si>
    <t xml:space="preserve">Paper says (summary)</t>
  </si>
  <si>
    <t xml:space="preserve">Evidence (file:line)</t>
  </si>
  <si>
    <t xml:space="preserve">What differs</t>
  </si>
  <si>
    <t xml:space="preserve">Reason</t>
  </si>
  <si>
    <t xml:space="preserve">Paper / source ref</t>
  </si>
  <si>
    <t xml:space="preserve">Registration/Login</t>
  </si>
  <si>
    <t xml:space="preserve">Register with full name, email, contact no., password</t>
  </si>
  <si>
    <t xml:space="preserve">js/register.js:140</t>
  </si>
  <si>
    <t xml:space="preserve">p.46</t>
  </si>
  <si>
    <t xml:space="preserve">Email verification code; activate only after verification</t>
  </si>
  <si>
    <t xml:space="preserve">js/register.js:214; js/verify-email.js:94; firestore.rules:43</t>
  </si>
  <si>
    <t xml:space="preserve">Works, but the code is stored on the customer's own user doc (readable by them) and the rules let a customer set emailVerified:true themselves, so verification can be bypassed.</t>
  </si>
  <si>
    <t xml:space="preserve">Panel security question risk; small rules + storage change.</t>
  </si>
  <si>
    <t xml:space="preserve">REQ003</t>
  </si>
  <si>
    <t xml:space="preserve">CAPTCHA on registration and login</t>
  </si>
  <si>
    <t xml:space="preserve">js/register.js:184; js/auth.js:111</t>
  </si>
  <si>
    <t xml:space="preserve">Lock account 2 min after 5 failed logins</t>
  </si>
  <si>
    <t xml:space="preserve">js/auth.js:57</t>
  </si>
  <si>
    <t xml:space="preserve">Lockout counter lives in a public loginAttempts collection (it has to be readable before login). Since 7fdbde9 it can't lock an address for good, but anyone can still reset it (firestore.rules loginAttempts).</t>
  </si>
  <si>
    <t xml:space="preserve">Behaviour matches; weakness is acceptable for capstone, mention if asked.</t>
  </si>
  <si>
    <t xml:space="preserve">REQ005</t>
  </si>
  <si>
    <t xml:space="preserve">Email OTP when logging in from an unrecognized device</t>
  </si>
  <si>
    <t xml:space="preserve">js/device-trust.js; js/auth.js</t>
  </si>
  <si>
    <t xml:space="preserve">Built (7ede9d4) but turned off 2026-10-25 (team decision): REQUIRE_DEVICE_CODE = false in js/device-trust.js. Set to true to require the code again. Built (7ede9d4): new browser gets an emailed 6-digit code (10 min, 5 tries, resend after 60 s); recognized devices in Account Settings. Checked in the browser, not by database rules.</t>
  </si>
  <si>
    <t xml:space="preserve">Paper may add: the device check runs in the browser.</t>
  </si>
  <si>
    <t xml:space="preserve">p.46; Fig 2.3; Fig 2.8</t>
  </si>
  <si>
    <t xml:space="preserve">REQ006</t>
  </si>
  <si>
    <t xml:space="preserve">Show Terms and Conditions; require acceptance</t>
  </si>
  <si>
    <t xml:space="preserve">js/terms-gate.js:34</t>
  </si>
  <si>
    <t xml:space="preserve">Terms rewritten to the branch's policies (client to review). (was: -)</t>
  </si>
  <si>
    <t xml:space="preserve">REQ007</t>
  </si>
  <si>
    <t xml:space="preserve">Password recovery via time-limited reset link</t>
  </si>
  <si>
    <t xml:space="preserve">js/forgot-password.js:51</t>
  </si>
  <si>
    <t xml:space="preserve">Sent by Firebase Auth, not EmailJS as the Technical Background says.</t>
  </si>
  <si>
    <t xml:space="preserve">Tech wording only (see Tech Stack sheet).</t>
  </si>
  <si>
    <t xml:space="preserve">p.47</t>
  </si>
  <si>
    <t xml:space="preserve">REQ008</t>
  </si>
  <si>
    <t xml:space="preserve">Home</t>
  </si>
  <si>
    <t xml:space="preserve">Home page with products, announcements, promotions, navigation</t>
  </si>
  <si>
    <t xml:space="preserve">shop/index.html</t>
  </si>
  <si>
    <t xml:space="preserve">Announcement / promotion banner on every shop page, edited in Settings by the BM or Technical Staff. (was: Featured products and categories exist; no announcements or promotions section.)</t>
  </si>
  <si>
    <t xml:space="preserve">The client announces store closures (e.g. long weekends) to buyers today (Interview 1); a simple staff-editable announcement banner covers it. Promotions can be dropped from the paper.</t>
  </si>
  <si>
    <t xml:space="preserve">p.47; Interview 1</t>
  </si>
  <si>
    <t xml:space="preserve">Product Browsing</t>
  </si>
  <si>
    <t xml:space="preserve">Catalog by category with name, price, stock availability</t>
  </si>
  <si>
    <t xml:space="preserve">js/products-data.js:696</t>
  </si>
  <si>
    <t xml:space="preserve">06574da: catalog cards show the quantity in stock. (was: Cards show name/price and an Out of Stock badge, but not the quantity available (only on the product page).)</t>
  </si>
  <si>
    <t xml:space="preserve">One-line card change.</t>
  </si>
  <si>
    <t xml:space="preserve">REQ010</t>
  </si>
  <si>
    <t xml:space="preserve">Filter by category, price range, stock status</t>
  </si>
  <si>
    <t xml:space="preserve">js/products.js:31; shop/products.html</t>
  </si>
  <si>
    <t xml:space="preserve">Fixed: price range + availability filters. (was: Category filter and price sort only; no price-range or stock-status filter.)</t>
  </si>
  <si>
    <t xml:space="preserve">Small UI addition; visible in demo.</t>
  </si>
  <si>
    <t xml:space="preserve">REQ011</t>
  </si>
  <si>
    <t xml:space="preserve">Keyword / product-name search</t>
  </si>
  <si>
    <t xml:space="preserve">shop/products.html:38 (input has no handler)</t>
  </si>
  <si>
    <t xml:space="preserve">Fixed: header search works on every page. (was: Header search box is not wired to anything on any page.)</t>
  </si>
  <si>
    <t xml:space="preserve">Panel will type in it; small fix.</t>
  </si>
  <si>
    <t xml:space="preserve">p.47; Fig 2.3 Filter and Search</t>
  </si>
  <si>
    <t xml:space="preserve">REQ012</t>
  </si>
  <si>
    <t xml:space="preserve">'No products found' message</t>
  </si>
  <si>
    <t xml:space="preserve">js/products.js:70</t>
  </si>
  <si>
    <t xml:space="preserve">REQ013</t>
  </si>
  <si>
    <t xml:space="preserve">Product View</t>
  </si>
  <si>
    <t xml:space="preserve">Product page: name, description, price, stock, dosage/usage notes, images</t>
  </si>
  <si>
    <t xml:space="preserve">js/product-details.js</t>
  </si>
  <si>
    <t xml:space="preserve">06574da: Dosage / Usage notes field shown on the product page and quick view. (was: No dosage/usage notes field exists anywhere.)</t>
  </si>
  <si>
    <t xml:space="preserve">Add one optional field to product form + page.</t>
  </si>
  <si>
    <t xml:space="preserve">Cart</t>
  </si>
  <si>
    <t xml:space="preserve">Persistent cart per logged-in customer</t>
  </si>
  <si>
    <t xml:space="preserve">js/cart.js:5 (localStorage)</t>
  </si>
  <si>
    <t xml:space="preserve">77336f3: signed-in cart saved on the account and merged with any guest cart at sign-in. (was: Cart is stored in the browser, so it follows the device, not the account.)</t>
  </si>
  <si>
    <t xml:space="preserve">Activity 2.10 says cart persists across sessions; small sync to users/{uid}.</t>
  </si>
  <si>
    <t xml:space="preserve">p.47; Fig 2.10</t>
  </si>
  <si>
    <t xml:space="preserve">REQ015</t>
  </si>
  <si>
    <t xml:space="preserve">Adjust quantities / remove items</t>
  </si>
  <si>
    <t xml:space="preserve">js/cart-page.js:40</t>
  </si>
  <si>
    <t xml:space="preserve">p.48</t>
  </si>
  <si>
    <t xml:space="preserve">REQ016</t>
  </si>
  <si>
    <t xml:space="preserve">Running total updates on change</t>
  </si>
  <si>
    <t xml:space="preserve">js/cart-page.js</t>
  </si>
  <si>
    <t xml:space="preserve">REQ017</t>
  </si>
  <si>
    <t xml:space="preserve">Checkout</t>
  </si>
  <si>
    <t xml:space="preserve">Collect delivery address before submission</t>
  </si>
  <si>
    <t xml:space="preserve">js/checkout.js:140</t>
  </si>
  <si>
    <t xml:space="preserve">REQ018</t>
  </si>
  <si>
    <t xml:space="preserve">Save default delivery address</t>
  </si>
  <si>
    <t xml:space="preserve">js/checkout.js:164</t>
  </si>
  <si>
    <t xml:space="preserve">Saved automatically on every checkout rather than as an explicit choice.</t>
  </si>
  <si>
    <t xml:space="preserve">Acceptable.</t>
  </si>
  <si>
    <t xml:space="preserve">REQ019</t>
  </si>
  <si>
    <t xml:space="preserve">Block submission without address</t>
  </si>
  <si>
    <t xml:space="preserve">shop/checkout.html (required fields)</t>
  </si>
  <si>
    <t xml:space="preserve">REQ020</t>
  </si>
  <si>
    <t xml:space="preserve">Notice: delivery fee paid to Lalamove rider</t>
  </si>
  <si>
    <t xml:space="preserve">shop/checkout.html:177; shop/payment.html:196</t>
  </si>
  <si>
    <t xml:space="preserve">Payment page says pay rider 'cash'; interview 3 says riders also take GCash.</t>
  </si>
  <si>
    <t xml:space="preserve">Copy tweak only.</t>
  </si>
  <si>
    <t xml:space="preserve">p.48; Interview 3</t>
  </si>
  <si>
    <t xml:space="preserve">REQ021</t>
  </si>
  <si>
    <t xml:space="preserve">Prescription Pre-Order</t>
  </si>
  <si>
    <t xml:space="preserve">RX pre-order requires prescription photo</t>
  </si>
  <si>
    <t xml:space="preserve">js/payment.js:38</t>
  </si>
  <si>
    <t xml:space="preserve">REQ022</t>
  </si>
  <si>
    <t xml:space="preserve">Full QR PH payment + screenshot before submission</t>
  </si>
  <si>
    <t xml:space="preserve">js/payment.js</t>
  </si>
  <si>
    <t xml:space="preserve">REQ023</t>
  </si>
  <si>
    <t xml:space="preserve">RX pre-orders are pick-up only</t>
  </si>
  <si>
    <t xml:space="preserve">js/checkout.js:63</t>
  </si>
  <si>
    <t xml:space="preserve">p.49</t>
  </si>
  <si>
    <t xml:space="preserve">REQ024</t>
  </si>
  <si>
    <t xml:space="preserve">Submitted as 'Pending Prescription Verification'; not prepared until staff approve the prescription</t>
  </si>
  <si>
    <t xml:space="preserve">js/orders.js:5</t>
  </si>
  <si>
    <t xml:space="preserve">082ec92: RX orders show 'Pending Prescription Verification' and aren't prepared until staff approve the prescription. (was: RX orders use the same 'Order Pending Verification' status as normal orders; prescription approval is not a separate step.)</t>
  </si>
  <si>
    <t xml:space="preserve">Paper repeats this in Modules, Conceptual Framework, Fig 2.10; system change is moderate.</t>
  </si>
  <si>
    <t xml:space="preserve">p.49; Fig 2.10</t>
  </si>
  <si>
    <t xml:space="preserve">REQ025</t>
  </si>
  <si>
    <t xml:space="preserve">Notify approved/ready for pick-up, or rejected with reason</t>
  </si>
  <si>
    <t xml:space="preserve">js/admin-online-orders.js:392</t>
  </si>
  <si>
    <t xml:space="preserve">082ec92: approval sends 'ready for pick-up'; rejection sends the reason. (was: Approval sends 'Payment confirmed' only; there is no rejection path at all.)</t>
  </si>
  <si>
    <t xml:space="preserve">Part of the RX verification fix.</t>
  </si>
  <si>
    <t xml:space="preserve">Notice: original prescription must be presented at pick-up</t>
  </si>
  <si>
    <t xml:space="preserve">shop/checkout.html:133</t>
  </si>
  <si>
    <t xml:space="preserve">082ec92: checkout and payment pages say to bring the original prescription. (was: Checkout pick-up notice does not mention the original prescription (only the later pick-up notification does).)</t>
  </si>
  <si>
    <t xml:space="preserve">Copy change.</t>
  </si>
  <si>
    <t xml:space="preserve">REQ027</t>
  </si>
  <si>
    <t xml:space="preserve">Customer can view RX pre-order status in My Orders</t>
  </si>
  <si>
    <t xml:space="preserve">js/orders-list.js</t>
  </si>
  <si>
    <t xml:space="preserve">Payment</t>
  </si>
  <si>
    <t xml:space="preserve">Show branch QR PH code and account details</t>
  </si>
  <si>
    <t xml:space="preserve">shop/payment.html:135</t>
  </si>
  <si>
    <t xml:space="preserve">Page points to assets/payment-qr.png, which is not in the repo, so customers see a placeholder.</t>
  </si>
  <si>
    <t xml:space="preserve">Needs the client's actual QR image; highly visible in demo.</t>
  </si>
  <si>
    <t xml:space="preserve">REQ029</t>
  </si>
  <si>
    <t xml:space="preserve">Require payment screenshot upload</t>
  </si>
  <si>
    <t xml:space="preserve">REQ030</t>
  </si>
  <si>
    <t xml:space="preserve">Hold order pending verification until admin confirms</t>
  </si>
  <si>
    <t xml:space="preserve">js/admin-online-orders.js:257</t>
  </si>
  <si>
    <t xml:space="preserve">My Orders</t>
  </si>
  <si>
    <t xml:space="preserve">Statuses: pending payment, payment verified, confirmed, dispatched, delivered, payment rejected</t>
  </si>
  <si>
    <t xml:space="preserve">Manuscript REQ031 now lists the system's statuses (Order Pending Verification / Pending Prescription Verification, Payment Rejected (re-upload needed), On Hold, Payment Confirmed, Dispatched / Ready for Pick-up, Delivered, Received / Picked Up, Closed (Unresolved)). (was: paper listed pending payment ... payment rejected.)</t>
  </si>
  <si>
    <t xml:space="preserve">System matches the hold/7-day policy in REQ096-100; update the status list.</t>
  </si>
  <si>
    <t xml:space="preserve">p.50</t>
  </si>
  <si>
    <t xml:space="preserve">REQ032</t>
  </si>
  <si>
    <t xml:space="preserve">View full order details</t>
  </si>
  <si>
    <t xml:space="preserve">js/order-details.js:191</t>
  </si>
  <si>
    <t xml:space="preserve">REQ033</t>
  </si>
  <si>
    <t xml:space="preserve">View/download system receipt for completed orders</t>
  </si>
  <si>
    <t xml:space="preserve">js/orders.js:247</t>
  </si>
  <si>
    <t xml:space="preserve">082ec92: receipt only after verification; PDF shows subtotal and store credit applied. (was: Receipt downloadable for any order (even unpaid); PDF shows only final total, not subtotal/credit applied.)</t>
  </si>
  <si>
    <t xml:space="preserve">Small.</t>
  </si>
  <si>
    <t xml:space="preserve">REQ034</t>
  </si>
  <si>
    <t xml:space="preserve">Customer monitors delivery progress</t>
  </si>
  <si>
    <t xml:space="preserve">js/order-details.js (no trackingLink)</t>
  </si>
  <si>
    <t xml:space="preserve">Fixed: customer sees the Lalamove tracking link. (was: Status timeline shows, but the Lalamove tracking link staff paste is never shown to the customer.)</t>
  </si>
  <si>
    <t xml:space="preserve">REQ104/105 and Activity 2.11 say the link is 'immediately reflected' to the customer.</t>
  </si>
  <si>
    <t xml:space="preserve">p.50; Fig 2.11</t>
  </si>
  <si>
    <t xml:space="preserve">REQ035</t>
  </si>
  <si>
    <t xml:space="preserve">Live Chat</t>
  </si>
  <si>
    <t xml:space="preserve">Live chat for guests and customers</t>
  </si>
  <si>
    <t xml:space="preserve">shop/*.html floating-chat-btn href='#'</t>
  </si>
  <si>
    <t xml:space="preserve">80b3988: chat widget on every shop page for guests and customers. (was: Buttons exist but go nowhere.)</t>
  </si>
  <si>
    <t xml:space="preserve">Large feature in objectives, scope, framework and comparative analysis. Options: build it, or scope down and move to Limitations.</t>
  </si>
  <si>
    <t xml:space="preserve">p.50; Obj. 1; Scope</t>
  </si>
  <si>
    <t xml:space="preserve">REQ036</t>
  </si>
  <si>
    <t xml:space="preserve">AI-powered responses (OpenAI) for common inquiries</t>
  </si>
  <si>
    <t xml:space="preserve">80b3988: AI replies from Gemini (Firebase AI Logic, free tier) instead of OpenAI, plus built-in answers for common questions. Paper names OpenAI - in the panel letter. (was: Not built. A browser-only app cannot hide an OpenAI key, so this needs a server function (e.g. Firebase Cloud Functions, Blaze plan).)</t>
  </si>
  <si>
    <t xml:space="preserve">Same decision as REQ035.</t>
  </si>
  <si>
    <t xml:space="preserve">p.50; NF008; NF012</t>
  </si>
  <si>
    <t xml:space="preserve">REQ037</t>
  </si>
  <si>
    <t xml:space="preserve">Escalate to staff when needed</t>
  </si>
  <si>
    <t xml:space="preserve">80b3988: hands off to staff when asked, when the assistant is unsure, or when the daily AI limit is reached. (was: Not built.)</t>
  </si>
  <si>
    <t xml:space="preserve">REQ038</t>
  </si>
  <si>
    <t xml:space="preserve">Notify staff of new/escalated chats</t>
  </si>
  <si>
    <t xml:space="preserve">80b3988: waiting chats show in the staff notification bell and the Live Chat page. (was: Not built.)</t>
  </si>
  <si>
    <t xml:space="preserve">REQ039</t>
  </si>
  <si>
    <t xml:space="preserve">Customer Notification</t>
  </si>
  <si>
    <t xml:space="preserve">In-platform and email notifications for order/payment/delivery updates</t>
  </si>
  <si>
    <t xml:space="preserve">js/orders.js:108; js/shop-header.js:54</t>
  </si>
  <si>
    <t xml:space="preserve">In-platform + EmailJS email for order placed, payment confirmed, holds, prescription results, dispatched (tracking link), ready for pick-up, credit. Needs the order template ID in js/emailjs-config.js. (was: In-platform bell works; no email notifications are sent (EmailJS is only used for OTP). No notification at all when an order is placed (Fig 2.10 'Send Order Submission Notification').)</t>
  </si>
  <si>
    <t xml:space="preserve">EmailJS already set up; free tier is 200 emails/month (Budget).</t>
  </si>
  <si>
    <t xml:space="preserve">p.51; Fig 2.10</t>
  </si>
  <si>
    <t xml:space="preserve">Account Settings</t>
  </si>
  <si>
    <t xml:space="preserve">Update name, address, contact no., profile picture</t>
  </si>
  <si>
    <t xml:space="preserve">js/account-settings.js:87</t>
  </si>
  <si>
    <t xml:space="preserve">77336f3: profile photo upload in Account Settings. (was: No profile picture.)</t>
  </si>
  <si>
    <t xml:space="preserve">Cloudinary upload already exists; small.</t>
  </si>
  <si>
    <t xml:space="preserve">p.51</t>
  </si>
  <si>
    <t xml:space="preserve">REQ041</t>
  </si>
  <si>
    <t xml:space="preserve">Confirm current password before setting new one</t>
  </si>
  <si>
    <t xml:space="preserve">js/account-settings.js:157</t>
  </si>
  <si>
    <t xml:space="preserve">REQ042</t>
  </si>
  <si>
    <t xml:space="preserve">Enable/disable email notifications</t>
  </si>
  <si>
    <t xml:space="preserve">Account Settings -&gt; Notifications: email updates on/off. (was: No toggle (and no email notifications yet).)</t>
  </si>
  <si>
    <t xml:space="preserve">Comes with REQ039.</t>
  </si>
  <si>
    <t xml:space="preserve">REQ043</t>
  </si>
  <si>
    <t xml:space="preserve">Admin Login</t>
  </si>
  <si>
    <t xml:space="preserve">Staff log in with credentials created by Branch Manager; role permissions applied</t>
  </si>
  <si>
    <t xml:space="preserve">js/auth.js:94; js/admin-staff-management.js:188</t>
  </si>
  <si>
    <t xml:space="preserve">REQ044</t>
  </si>
  <si>
    <t xml:space="preserve">Staff OTP only on unrecognized device</t>
  </si>
  <si>
    <t xml:space="preserve">js/device-trust.js; js/admin-header.js</t>
  </si>
  <si>
    <t xml:space="preserve">Built (7ede9d4) but turned off 2026-10-25 (team decision): REQUIRE_DEVICE_CODE = false in js/device-trust.js. Set to true to require the code again. Built with REQ005 (7ede9d4); admin pages send an unconfirmed device back to login.</t>
  </si>
  <si>
    <t xml:space="preserve">p.51; Fig 2.8</t>
  </si>
  <si>
    <t xml:space="preserve">REQ045</t>
  </si>
  <si>
    <t xml:space="preserve">Staff lockout after 5 failed attempts</t>
  </si>
  <si>
    <t xml:space="preserve">Shared with customer login.</t>
  </si>
  <si>
    <t xml:space="preserve">REQ046</t>
  </si>
  <si>
    <t xml:space="preserve">Staff password reset link</t>
  </si>
  <si>
    <t xml:space="preserve">Dashboard</t>
  </si>
  <si>
    <t xml:space="preserve">Daily sales, active orders, low stock, near expiry, pending verifications, quick navigation</t>
  </si>
  <si>
    <t xml:space="preserve">js/admin-dashboard.js:129</t>
  </si>
  <si>
    <t xml:space="preserve">Exceeds paper (charts, period filter, out-of-stock). Fixed 72e7361: 'Active Online Orders' counts only payment confirmed + dispatched orders (on load and live). (was: also counted delivered and closed orders.)</t>
  </si>
  <si>
    <t xml:space="preserve">Count fix is one line.</t>
  </si>
  <si>
    <t xml:space="preserve">p.52</t>
  </si>
  <si>
    <t xml:space="preserve">REQ048</t>
  </si>
  <si>
    <t xml:space="preserve">Admin Notifications</t>
  </si>
  <si>
    <t xml:space="preserve">Notify BM + Technical of new orders, payments, stock, expiry, wholesale updates, chat</t>
  </si>
  <si>
    <t xml:space="preserve">js/products-data.js:257</t>
  </si>
  <si>
    <t xml:space="preserve">Staff bell: orders, payments, stock, expiry, Bad Order disposal, PO discrepancies, wholesale document expiry, waiting chats. (was: Covers orders, payments, stock, expiry, PO discrepancies. No wholesale order updates or chat. Also shown to Sales Staff.)</t>
  </si>
  <si>
    <t xml:space="preserve">Wholesale/chat parts depend on those features.</t>
  </si>
  <si>
    <t xml:space="preserve">Inventory</t>
  </si>
  <si>
    <t xml:space="preserve">Inventory list per product by batch, with supplier details</t>
  </si>
  <si>
    <t xml:space="preserve">admin/inventory.html:153</t>
  </si>
  <si>
    <t xml:space="preserve">06574da: batch table has a Supplier column (with receipt/DR no.). (was: Batch table has no supplier column.)</t>
  </si>
  <si>
    <t xml:space="preserve">Data exists (supplierId on batch); add column.</t>
  </si>
  <si>
    <t xml:space="preserve">REQ050</t>
  </si>
  <si>
    <t xml:space="preserve">Consistent stock across concurrent transactions</t>
  </si>
  <si>
    <t xml:space="preserve">js/products-data.js:606</t>
  </si>
  <si>
    <t xml:space="preserve">Firestore transactions (FEFO multi-item).</t>
  </si>
  <si>
    <t xml:space="preserve">REQ051</t>
  </si>
  <si>
    <t xml:space="preserve">Record write-offs</t>
  </si>
  <si>
    <t xml:space="preserve">js/admin-inventory.js:994</t>
  </si>
  <si>
    <t xml:space="preserve">REQ052</t>
  </si>
  <si>
    <t xml:space="preserve">Reason required for write-off</t>
  </si>
  <si>
    <t xml:space="preserve">REQ053</t>
  </si>
  <si>
    <t xml:space="preserve">Purchase Orders</t>
  </si>
  <si>
    <t xml:space="preserve">Create PO: supplier, products, quantities, date; Pending</t>
  </si>
  <si>
    <t xml:space="preserve">js/admin-inventory.js:1442</t>
  </si>
  <si>
    <t xml:space="preserve">REQ054</t>
  </si>
  <si>
    <t xml:space="preserve">Link delivery to existing PO when receiving</t>
  </si>
  <si>
    <t xml:space="preserve">js/admin-inventory.js:1548</t>
  </si>
  <si>
    <t xml:space="preserve">Receiving is done from inside the PO.</t>
  </si>
  <si>
    <t xml:space="preserve">p.53</t>
  </si>
  <si>
    <t xml:space="preserve">REQ055</t>
  </si>
  <si>
    <t xml:space="preserve">Auto-compare received vs PO quantities</t>
  </si>
  <si>
    <t xml:space="preserve">REQ056</t>
  </si>
  <si>
    <t xml:space="preserve">Discrepancy report + PO status Discrepancy</t>
  </si>
  <si>
    <t xml:space="preserve">Shown on screen per PO; variance is per product (batch is recorded per line).</t>
  </si>
  <si>
    <t xml:space="preserve">REQ057</t>
  </si>
  <si>
    <t xml:space="preserve">Received when matched; acknowledgment to close Discrepancy</t>
  </si>
  <si>
    <t xml:space="preserve">js/admin-inventory.js:1657</t>
  </si>
  <si>
    <t xml:space="preserve">REQ058</t>
  </si>
  <si>
    <t xml:space="preserve">Discrepancy reports by date range, PDF/Excel</t>
  </si>
  <si>
    <t xml:space="preserve">bf16804: Reports -&gt; Purchase Order Discrepancy Report, date range, PDF/Excel. (was: No discrepancy report export.)</t>
  </si>
  <si>
    <t xml:space="preserve">Part of the Reports module.</t>
  </si>
  <si>
    <t xml:space="preserve">REQ059</t>
  </si>
  <si>
    <t xml:space="preserve">Stock Reconciliation</t>
  </si>
  <si>
    <t xml:space="preserve">Input physical counts</t>
  </si>
  <si>
    <t xml:space="preserve">js/admin-inventory.js:1233</t>
  </si>
  <si>
    <t xml:space="preserve">REQ060</t>
  </si>
  <si>
    <t xml:space="preserve">Auto variance calculation</t>
  </si>
  <si>
    <t xml:space="preserve">js/admin-inventory.js</t>
  </si>
  <si>
    <t xml:space="preserve">REQ061</t>
  </si>
  <si>
    <t xml:space="preserve">Branch Manager finalizes; variance reason in Audit Log</t>
  </si>
  <si>
    <t xml:space="preserve">06574da: only the Branch Manager finalizes; others save the count; variance reason required and logged with each batch's change. (was: Any staff with Inventory access can finalize; no variance reason is asked or logged (only a count of adjusted batches).)</t>
  </si>
  <si>
    <t xml:space="preserve">Small role check + reason field. Fig 2.5 shows Technical Staff doing reconciliation - see Contradictions C5.</t>
  </si>
  <si>
    <t xml:space="preserve">p.53; Fig 2.5</t>
  </si>
  <si>
    <t xml:space="preserve">REQ062</t>
  </si>
  <si>
    <t xml:space="preserve">Stock Receiving</t>
  </si>
  <si>
    <t xml:space="preserve">Record deliveries: product, qty, batch, expiry, supplier</t>
  </si>
  <si>
    <t xml:space="preserve">js/admin-inventory.js:537</t>
  </si>
  <si>
    <t xml:space="preserve">p.54</t>
  </si>
  <si>
    <t xml:space="preserve">REQ063</t>
  </si>
  <si>
    <t xml:space="preserve">Stock added immediately on confirmation</t>
  </si>
  <si>
    <t xml:space="preserve">REQ064</t>
  </si>
  <si>
    <t xml:space="preserve">Batch Upload</t>
  </si>
  <si>
    <t xml:space="preserve">Bulk stock upload via Excel/CSV template</t>
  </si>
  <si>
    <t xml:space="preserve">js/admin-inventory.js:727</t>
  </si>
  <si>
    <t xml:space="preserve">Also available for products.</t>
  </si>
  <si>
    <t xml:space="preserve">REQ065</t>
  </si>
  <si>
    <t xml:space="preserve">FEFO</t>
  </si>
  <si>
    <t xml:space="preserve">FEFO across all transactions</t>
  </si>
  <si>
    <t xml:space="preserve">REQ066</t>
  </si>
  <si>
    <t xml:space="preserve">Flag batches within 6 months; remove from sellable; wholesale free-of-cost only</t>
  </si>
  <si>
    <t xml:space="preserve">js/products-data.js:384; js/admin-inventory.js (only caller)</t>
  </si>
  <si>
    <t xml:space="preserve">Fixed: retail stock excludes near-expiry batches by date on every load and sale; expired stock never sold. (was: The flag only runs when someone opens the Inventory page. Until then, near-expiry batches stay sellable online and at the POS. Free-of-cost distribution is not a recorded transaction type (see REQ091).)</t>
  </si>
  <si>
    <t xml:space="preserve">This is the title feature ('Real-Time Expiry Monitoring') and Objective 2; exclude near-expiry batches from sellable stock by date everywhere, not only on that page.</t>
  </si>
  <si>
    <t xml:space="preserve">p.54; Title; Obj. 2</t>
  </si>
  <si>
    <t xml:space="preserve">REQ067</t>
  </si>
  <si>
    <t xml:space="preserve">Within 2 months: Bad Order, disposal alert, auto-deduct</t>
  </si>
  <si>
    <t xml:space="preserve">d2a957b: within 2 months (or expired) the batch becomes Bad Order: remaining units written off automatically (write-off + audit entry), disposal alert until staff Mark disposed. (was: No 2-month Bad Order handling.)</t>
  </si>
  <si>
    <t xml:space="preserve">Client described this exact practice (Interview 1).</t>
  </si>
  <si>
    <t xml:space="preserve">p.54; Interview 1</t>
  </si>
  <si>
    <t xml:space="preserve">REQ068</t>
  </si>
  <si>
    <t xml:space="preserve">Product Management</t>
  </si>
  <si>
    <t xml:space="preserve">Create/edit/remove products incl. dosage notes, costing, retail, wholesale, image</t>
  </si>
  <si>
    <t xml:space="preserve">js/admin-products.js:347</t>
  </si>
  <si>
    <t xml:space="preserve">06574da: dosage notes field added to the product form. (was: No dosage notes field.)</t>
  </si>
  <si>
    <t xml:space="preserve">Same as REQ013.</t>
  </si>
  <si>
    <t xml:space="preserve">REQ069</t>
  </si>
  <si>
    <t xml:space="preserve">Supplier records linked to products</t>
  </si>
  <si>
    <t xml:space="preserve">js/admin-suppliers.js:255</t>
  </si>
  <si>
    <t xml:space="preserve">p.55</t>
  </si>
  <si>
    <t xml:space="preserve">Add, rename, remove categories</t>
  </si>
  <si>
    <t xml:space="preserve">js/admin-products.js:713</t>
  </si>
  <si>
    <t xml:space="preserve">Fixed: rename uses the app dialog; delete can move products. (was: Rename uses the browser's native prompt(), the only native dialog left.)</t>
  </si>
  <si>
    <t xml:space="preserve">REQ071</t>
  </si>
  <si>
    <t xml:space="preserve">Price Management</t>
  </si>
  <si>
    <t xml:space="preserve">Price changes restricted to Branch Manager</t>
  </si>
  <si>
    <t xml:space="preserve">js/admin-products.js:69; js/admin-roles.js:17; firestore.rules:55</t>
  </si>
  <si>
    <t xml:space="preserve">Fixed: BM-only prices everywhere, enforced in database rules (rules published 2026-10-24). (was: Only editing an existing product is locked. Any staff (incl. Sales Staff) can set prices when creating or batch-importing a product, and the database rules let any staff write prices.)</t>
  </si>
  <si>
    <t xml:space="preserve">Client's core ask ('one person lock', Interviews 1-2).</t>
  </si>
  <si>
    <t xml:space="preserve">p.55; Interviews 1-2</t>
  </si>
  <si>
    <t xml:space="preserve">REQ072</t>
  </si>
  <si>
    <t xml:space="preserve">Confirm price change before saving</t>
  </si>
  <si>
    <t xml:space="preserve">Confirm step now also asks for a reason. (was: -)</t>
  </si>
  <si>
    <t xml:space="preserve">REQ073</t>
  </si>
  <si>
    <t xml:space="preserve">Audit log: previous price, new price, timestamp</t>
  </si>
  <si>
    <t xml:space="preserve">System now logs the reason too; paper REQ073 wording should add 'reason'. (was: Matches the paper, but the client asked for a reason with each change (Interview 2) and none is captured.)</t>
  </si>
  <si>
    <t xml:space="preserve">Add a reason field and add 'reason' to REQ073.</t>
  </si>
  <si>
    <t xml:space="preserve">p.55; Interview 2</t>
  </si>
  <si>
    <t xml:space="preserve">REQ074</t>
  </si>
  <si>
    <t xml:space="preserve">Order Processing</t>
  </si>
  <si>
    <t xml:space="preserve">Searchable, filterable order queue</t>
  </si>
  <si>
    <t xml:space="preserve">js/admin-online-orders.js</t>
  </si>
  <si>
    <t xml:space="preserve">REQ075</t>
  </si>
  <si>
    <t xml:space="preserve">Confirm, update, or hold orders</t>
  </si>
  <si>
    <t xml:space="preserve">js/admin-online-orders.js:891</t>
  </si>
  <si>
    <t xml:space="preserve">REQ076</t>
  </si>
  <si>
    <t xml:space="preserve">FEFO deduction on confirmation</t>
  </si>
  <si>
    <t xml:space="preserve">REQ077</t>
  </si>
  <si>
    <t xml:space="preserve">RX Verification</t>
  </si>
  <si>
    <t xml:space="preserve">Dedicated RX pre-order queue with prescription + payment proof</t>
  </si>
  <si>
    <t xml:space="preserve">082ec92: RX filter + RX badge in the verification queue, prescription and payment shown together. (was: RX orders appear in the general Payment Verification queue with the photo shown; no dedicated queue or filter.)</t>
  </si>
  <si>
    <t xml:space="preserve">Could be a filter/tab rather than a new page.</t>
  </si>
  <si>
    <t xml:space="preserve">REQ078</t>
  </si>
  <si>
    <t xml:space="preserve">Approve after checking prescription: FEFO reservation, Ready for Pick-up, notify</t>
  </si>
  <si>
    <t xml:space="preserve">082ec92: approval reserves stock (FEFO), sets Ready for Pick-up and notifies 'ready for pick-up'. (was: Approving payment moves RX orders straight to Ready for Pick-up, but the notification says 'Payment confirmed', not 'Ready for pick-up'.)</t>
  </si>
  <si>
    <t xml:space="preserve">REQ079</t>
  </si>
  <si>
    <t xml:space="preserve">Mandatory reason to reject; reason in customer notification</t>
  </si>
  <si>
    <t xml:space="preserve">082ec92: Reject Prescription with required reason + message; customer can re-upload within 7 days. (was: No reject action exists for prescriptions.)</t>
  </si>
  <si>
    <t xml:space="preserve">p.56</t>
  </si>
  <si>
    <t xml:space="preserve">REQ080</t>
  </si>
  <si>
    <t xml:space="preserve">RX never assignable to delivery</t>
  </si>
  <si>
    <t xml:space="preserve">REQ081</t>
  </si>
  <si>
    <t xml:space="preserve">Record staff, timestamp, action per verification</t>
  </si>
  <si>
    <t xml:space="preserve">082ec92: every approval/hold/rejection stores who, when and what (verification field) + audit entry for RX. (was: Who approved is not stored.)</t>
  </si>
  <si>
    <t xml:space="preserve">REQ082</t>
  </si>
  <si>
    <t xml:space="preserve">Walk-in Orders</t>
  </si>
  <si>
    <t xml:space="preserve">Technical + Sales Staff process walk-in sales (OTC + RX)</t>
  </si>
  <si>
    <t xml:space="preserve">js/admin-pos.js:187</t>
  </si>
  <si>
    <t xml:space="preserve">REQ083</t>
  </si>
  <si>
    <t xml:space="preserve">Void with reason, restore stock, audit log, record exchange + price difference</t>
  </si>
  <si>
    <t xml:space="preserve">Full or item-level voids with reason, SI No., stock back to the same batches, exchange note, audit entry; Technical Staff voids need a Branch Manager's email + password approval (client rule). (was: No void function at all.)</t>
  </si>
  <si>
    <t xml:space="preserve">Client's #1 stated pain point (Interview 4), plus a use case in Fig 2.6. Paper wording is self-contradictory on timing - see C4.</t>
  </si>
  <si>
    <t xml:space="preserve">p.56; Fig 2.6; Fig 2.14; Interview 4</t>
  </si>
  <si>
    <t xml:space="preserve">RX Verified checkbox + optional notes, no upload</t>
  </si>
  <si>
    <t xml:space="preserve">admin/pos.html</t>
  </si>
  <si>
    <t xml:space="preserve">57f4d80: RX Verified checkbox + optional notes in POS, required when the cart has RX items. (was: Not in POS.)</t>
  </si>
  <si>
    <t xml:space="preserve">p.56; Fig 2.14</t>
  </si>
  <si>
    <t xml:space="preserve">REQ085</t>
  </si>
  <si>
    <t xml:space="preserve">Wholesale</t>
  </si>
  <si>
    <t xml:space="preserve">Wholesale accounts with contact, business type, agreed pricing</t>
  </si>
  <si>
    <t xml:space="preserve">js/admin-wholesale-accounts.js:270</t>
  </si>
  <si>
    <t xml:space="preserve">Agreed price per buyer per product (saved from Process Order, reviewed in Edit), used as the default on their orders. (was: No per-account agreed pricing; price comes from the product's wholesale price and can be edited per order.)</t>
  </si>
  <si>
    <t xml:space="preserve">Matches how client described 'special price for wholesalers'; reword REQ085/087.</t>
  </si>
  <si>
    <t xml:space="preserve">p.57; Interview 2</t>
  </si>
  <si>
    <t xml:space="preserve">REQ086</t>
  </si>
  <si>
    <t xml:space="preserve">Upload/update LTO and Business Permit</t>
  </si>
  <si>
    <t xml:space="preserve">5cad255: LTO and Business Permit valid-until dates; cards flag expired/expiring; orders blocked while expired. (was: Upload works; no document expiry date or 'expired' flag (shown in Interview 4 walkthrough and Activity 2.13).)</t>
  </si>
  <si>
    <t xml:space="preserve">Small: add expiry dates + badge.</t>
  </si>
  <si>
    <t xml:space="preserve">p.57; Fig 2.13; Interview 4</t>
  </si>
  <si>
    <t xml:space="preserve">REQ087</t>
  </si>
  <si>
    <t xml:space="preserve">Record wholesale POs linked to account with wholesale pricing</t>
  </si>
  <si>
    <t xml:space="preserve">js/admin-wholesale-accounts.js:473</t>
  </si>
  <si>
    <t xml:space="preserve">POs recorded against the buyer with their agreed prices as defaults. (was: -)</t>
  </si>
  <si>
    <t xml:space="preserve">p.57</t>
  </si>
  <si>
    <t xml:space="preserve">Wholesale prices admin-only; not shown on retail site</t>
  </si>
  <si>
    <t xml:space="preserve">firestore.rules:55</t>
  </si>
  <si>
    <t xml:space="preserve">Not displayed, but costing/wholesale prices sit in the public products collection and can be read by anyone.</t>
  </si>
  <si>
    <t xml:space="preserve">Moving price fields to a staff-only collection is moderate work.</t>
  </si>
  <si>
    <t xml:space="preserve">REQ089</t>
  </si>
  <si>
    <t xml:space="preserve">Purchase history per wholesale account</t>
  </si>
  <si>
    <t xml:space="preserve">5cad255: Purchase History per wholesale account, with invoice download. (was: Orders are saved (wholesaleOrders) but there is no history view.)</t>
  </si>
  <si>
    <t xml:space="preserve">Client asked for a 'customer file' (Interview 2, 4).</t>
  </si>
  <si>
    <t xml:space="preserve">Wholesale item exchanges with FEFO + audit log</t>
  </si>
  <si>
    <t xml:space="preserve">Wholesale exchange from Purchase History: return to the original batch, FEFO replacement, equal-or-higher value (buyer pays the difference), reason, audit entry, exchange document (EX-#####). (was: Not built.)</t>
  </si>
  <si>
    <t xml:space="preserve">Has its own activity diagram (Fig 2.15) and report (REQ114).</t>
  </si>
  <si>
    <t xml:space="preserve">p.57; Fig 2.15</t>
  </si>
  <si>
    <t xml:space="preserve">REQ091</t>
  </si>
  <si>
    <t xml:space="preserve">Free-of-cost near-expiry distributions, zero cost, reason in audit log</t>
  </si>
  <si>
    <t xml:space="preserve">js/admin-wholesale-accounts.js:380</t>
  </si>
  <si>
    <t xml:space="preserve">5cad255: free-of-cost option (prices 0), required reason, own audit entry, noted on the invoice. (was: A unit price of 0 is possible, but there is no free-of-cost option, reason, or dedicated audit entry.)</t>
  </si>
  <si>
    <t xml:space="preserve">REQ092</t>
  </si>
  <si>
    <t xml:space="preserve">Transaction Records</t>
  </si>
  <si>
    <t xml:space="preserve">Retail/walk-in receipt; wholesale sales invoice with buyer details</t>
  </si>
  <si>
    <t xml:space="preserve">js/products-data.js:478</t>
  </si>
  <si>
    <t xml:space="preserve">5cad255: wholesale sales invoice PDF with buyer details, batch and expiry per line; walk-in/online receipts carry SI No. (was: Walk-in and online receipts exist; no wholesale sales invoice. Receipts show no batch numbers or expiry dates, which the Project Context (p.1) names as the old POS's main gap.)</t>
  </si>
  <si>
    <t xml:space="preserve">jsPDF already used.</t>
  </si>
  <si>
    <t xml:space="preserve">p.58; p.1</t>
  </si>
  <si>
    <t xml:space="preserve">REQ093</t>
  </si>
  <si>
    <t xml:space="preserve">Receipt on payment verification, downloadable in My Orders</t>
  </si>
  <si>
    <t xml:space="preserve">082ec92: receipt only downloadable once payment is verified (SI No. assigned). (was: Available before verification too.)</t>
  </si>
  <si>
    <t xml:space="preserve">Same fix as REQ033.</t>
  </si>
  <si>
    <t xml:space="preserve">p.58</t>
  </si>
  <si>
    <t xml:space="preserve">REQ094</t>
  </si>
  <si>
    <t xml:space="preserve">Payment Verification</t>
  </si>
  <si>
    <t xml:space="preserve">Verification queue of orders with proof</t>
  </si>
  <si>
    <t xml:space="preserve">REQ095</t>
  </si>
  <si>
    <t xml:space="preserve">Confirm, or hold with issue type</t>
  </si>
  <si>
    <t xml:space="preserve">js/admin-online-orders.js:561</t>
  </si>
  <si>
    <t xml:space="preserve">REQ096</t>
  </si>
  <si>
    <t xml:space="preserve">On Hold - Invalid Screenshot + notify re-upload</t>
  </si>
  <si>
    <t xml:space="preserve">REQ097</t>
  </si>
  <si>
    <t xml:space="preserve">On Hold - Underpayment, record outstanding, notify</t>
  </si>
  <si>
    <t xml:space="preserve">REQ098</t>
  </si>
  <si>
    <t xml:space="preserve">On Hold - Overpayment, excess as unapplied value</t>
  </si>
  <si>
    <t xml:space="preserve">js/admin-online-orders.js:638</t>
  </si>
  <si>
    <t xml:space="preserve">System approves overpaid orders immediately and adds the excess to store credit (no hold). Fixed 72e7361: approving a resubmitted order clears the old hold and sends the Payment confirmed notice. (was: old hold never cleared, order stuck On Hold, no notification.)</t>
  </si>
  <si>
    <t xml:space="preserve">The paper says hold everywhere (REQ095, REQ098, Fig 2.6 text, Fig 2.11 text and diagram); approve-and-credit is what the client agreed to in the Interview 4 walkthrough. Fix the bug and reword the paper (C2).</t>
  </si>
  <si>
    <t xml:space="preserve">p.59; Fig 2.11; Interview 4</t>
  </si>
  <si>
    <t xml:space="preserve">On Hold - Payment Not Received, reason, notify</t>
  </si>
  <si>
    <t xml:space="preserve">847c877: 'Payment not received' is its own hold type; customer sees 'Payment Rejected - Re-upload Needed'. (was: Exists only as a reason under 'Invalid payment', not as its own hold type.)</t>
  </si>
  <si>
    <t xml:space="preserve">Use case text lists four hold types.</t>
  </si>
  <si>
    <t xml:space="preserve">p.59</t>
  </si>
  <si>
    <t xml:space="preserve">REQ100</t>
  </si>
  <si>
    <t xml:space="preserve">Auto-close after 7 days; verified payment kept as credit</t>
  </si>
  <si>
    <t xml:space="preserve">js/orders.js:133</t>
  </si>
  <si>
    <t xml:space="preserve">Checked when a page loads (no background job).</t>
  </si>
  <si>
    <t xml:space="preserve">Fine without a server.</t>
  </si>
  <si>
    <t xml:space="preserve">REQ101</t>
  </si>
  <si>
    <t xml:space="preserve">Status to confirmed on approval</t>
  </si>
  <si>
    <t xml:space="preserve">REQ102</t>
  </si>
  <si>
    <t xml:space="preserve">Notify customer on verification</t>
  </si>
  <si>
    <t xml:space="preserve">Fixed: overpayment approval now notifies the customer. (was: Works for normal approvals; missing for overpayment approvals (see REQ098).)</t>
  </si>
  <si>
    <t xml:space="preserve">Same fix as REQ098.</t>
  </si>
  <si>
    <t xml:space="preserve">REQ103</t>
  </si>
  <si>
    <t xml:space="preserve">Delivery</t>
  </si>
  <si>
    <t xml:space="preserve">Compile name, address, contact, schedule, order ID; one-click copy</t>
  </si>
  <si>
    <t xml:space="preserve">js/admin-online-orders.js:721</t>
  </si>
  <si>
    <t xml:space="preserve">06574da: approved modal shows order no. and preferred schedule, with a Copy All button. (was: Separate copy buttons for address/name/contact/notes. Preferred schedule and order ID are not shown; no 'copy all'.)</t>
  </si>
  <si>
    <t xml:space="preserve">Small; schedule is already saved on the order.</t>
  </si>
  <si>
    <t xml:space="preserve">REQ104</t>
  </si>
  <si>
    <t xml:space="preserve">Mark Dispatched and enter Lalamove tracking URL</t>
  </si>
  <si>
    <t xml:space="preserve">js/admin-online-orders.js:751</t>
  </si>
  <si>
    <t xml:space="preserve">Tracking link format is validated.</t>
  </si>
  <si>
    <t xml:space="preserve">REQ105</t>
  </si>
  <si>
    <t xml:space="preserve">Reflect status to customer; customer 'Order Received' finalizes as Delivered</t>
  </si>
  <si>
    <t xml:space="preserve">js/order-details.js</t>
  </si>
  <si>
    <t xml:space="preserve">Tracking link now shown to the customer. Remaining difference is wording: customer confirmation sets 'Received' after 'Delivered' (fix in paper). (was: Customer sees status, but not the tracking link. Customer confirmation sets 'Received' (a separate step after 'Delivered').)</t>
  </si>
  <si>
    <t xml:space="preserve">Show link (system); describe Delivered vs Received (paper) - see C1.</t>
  </si>
  <si>
    <t xml:space="preserve">p.60</t>
  </si>
  <si>
    <t xml:space="preserve">REQ106</t>
  </si>
  <si>
    <t xml:space="preserve">Auto Dispatched -&gt; Delivered after 3 days</t>
  </si>
  <si>
    <t xml:space="preserve">js/orders.js:82</t>
  </si>
  <si>
    <t xml:space="preserve">REQ107</t>
  </si>
  <si>
    <t xml:space="preserve">Optional internal delivery notes</t>
  </si>
  <si>
    <t xml:space="preserve">06574da: optional internal delivery notes saved on dispatch. (was: Not built.)</t>
  </si>
  <si>
    <t xml:space="preserve">REQ108</t>
  </si>
  <si>
    <t xml:space="preserve">Live Chat Management</t>
  </si>
  <si>
    <t xml:space="preserve">Staff view customer and AI conversations</t>
  </si>
  <si>
    <t xml:space="preserve">admin/*.html 'Live Chat' href='#'</t>
  </si>
  <si>
    <t xml:space="preserve">80b3988: Admin -&gt; Live Chat lists every conversation, live. (was: Sidebar link goes nowhere on all 12 admin pages.)</t>
  </si>
  <si>
    <t xml:space="preserve">REQ109</t>
  </si>
  <si>
    <t xml:space="preserve">Staff respond to customers</t>
  </si>
  <si>
    <t xml:space="preserve">80b3988: staff reply, take over from the assistant, or hand back. (was: Not built.)</t>
  </si>
  <si>
    <t xml:space="preserve">REQ110</t>
  </si>
  <si>
    <t xml:space="preserve">Mark threads resolved</t>
  </si>
  <si>
    <t xml:space="preserve">80b3988: Mark resolved; a new customer message reopens it. (was: Not built.)</t>
  </si>
  <si>
    <t xml:space="preserve">REQ111</t>
  </si>
  <si>
    <t xml:space="preserve">Reports</t>
  </si>
  <si>
    <t xml:space="preserve">Export daily sales reports (from Order Processing)</t>
  </si>
  <si>
    <t xml:space="preserve">js/admin-online-orders.js (Export -&gt; exportBlankPdf)</t>
  </si>
  <si>
    <t xml:space="preserve">bf16804: Reports -&gt; Daily Sales Report in the branch's format (sales, retail, wholesale, payment method, items sold) + Customer File; shortcut on Orders. (was: Online Orders Export downloads a blank PDF. Dashboard Sales Analytics export works but is not the daily sales report the client described (per customer, items with batch + expiry).)</t>
  </si>
  <si>
    <t xml:space="preserve">Objective 3 and the client's one remaining ask in Interview 4 ('wala pa tayo dun sa reporting').</t>
  </si>
  <si>
    <t xml:space="preserve">p.60; Obj. 3; Interviews 2-4</t>
  </si>
  <si>
    <t xml:space="preserve">REQ112</t>
  </si>
  <si>
    <t xml:space="preserve">Export monthly inventory + purchase reports (from Inventory)</t>
  </si>
  <si>
    <t xml:space="preserve">js/admin-inventory.js (Export -&gt; exportBlankPdf)</t>
  </si>
  <si>
    <t xml:space="preserve">bf16804: Reports -&gt; Monthly Inventory (sheet per category, POS vs physical, prices, batch, expiry) + Supplier Purchases; shortcut on Inventory. (was: Inventory Export downloads a blank PDF.)</t>
  </si>
  <si>
    <t xml:space="preserve">Client needs batch, expiry, date received, receipt no., supplier (Interview 2, 4).</t>
  </si>
  <si>
    <t xml:space="preserve">p.60; Interviews 2, 4</t>
  </si>
  <si>
    <t xml:space="preserve">REQ113</t>
  </si>
  <si>
    <t xml:space="preserve">Pull-out reports by date range</t>
  </si>
  <si>
    <t xml:space="preserve">bf16804: Reports -&gt; Pull-Out Report (write-offs incl. automatic Bad Order) by date range. (was: Not built (write-offs are recorded, so data exists).)</t>
  </si>
  <si>
    <t xml:space="preserve">Client lists pull-out as a required monthly report (Interview 2).</t>
  </si>
  <si>
    <t xml:space="preserve">p.60; Interview 2</t>
  </si>
  <si>
    <t xml:space="preserve">REQ114</t>
  </si>
  <si>
    <t xml:space="preserve">Wholesale exchange reports by period</t>
  </si>
  <si>
    <t xml:space="preserve">Reports -&gt; Return / Exchange Report (the branch's 'Return to POS' sheet + replacement and difference). (was: Not built; depends on REQ090.)</t>
  </si>
  <si>
    <t xml:space="preserve">p.61</t>
  </si>
  <si>
    <t xml:space="preserve">REQ115</t>
  </si>
  <si>
    <t xml:space="preserve">All reports in PDF or Excel</t>
  </si>
  <si>
    <t xml:space="preserve">js/admin-dashboard.js:471</t>
  </si>
  <si>
    <t xml:space="preserve">bf16804: every report previews on screen and downloads as PDF or Excel. (was: Only Sales Analytics exports (PDF + Excel). Five other Export buttons give blank PDFs (Dashboard, Inventory, Online Orders, Suppliers, Audit Log).)</t>
  </si>
  <si>
    <t xml:space="preserve">Customer Accounts</t>
  </si>
  <si>
    <t xml:space="preserve">View profiles: status, registration date, order history</t>
  </si>
  <si>
    <t xml:space="preserve">js/admin-customer-accounts.js:179</t>
  </si>
  <si>
    <t xml:space="preserve">847c877: customer profile lists their orders with status. (was: Shows total order count, not the order list.)</t>
  </si>
  <si>
    <t xml:space="preserve">REQ117</t>
  </si>
  <si>
    <t xml:space="preserve">Deactivate without deleting</t>
  </si>
  <si>
    <t xml:space="preserve">js/admin-customer-accounts.js:209</t>
  </si>
  <si>
    <t xml:space="preserve">Staff Management</t>
  </si>
  <si>
    <t xml:space="preserve">BM creates, modifies, revokes staff accounts</t>
  </si>
  <si>
    <t xml:space="preserve">js/admin-staff-management.js:188</t>
  </si>
  <si>
    <t xml:space="preserve">847c877: staff form uses the shared name/email/password rules; Administrator no longer demoted on edit. (was: Works (revoke = deactivate). New staff accounts skip the shared name/email/password validators, and editing an Administrator silently changes it to Branch Manager (js/admin-staff-management.js:181).)</t>
  </si>
  <si>
    <t xml:space="preserve">REQ119</t>
  </si>
  <si>
    <t xml:space="preserve">BM assigns roles that set accessible modules</t>
  </si>
  <si>
    <t xml:space="preserve">js/admin-roles.js:14</t>
  </si>
  <si>
    <t xml:space="preserve">REQ120</t>
  </si>
  <si>
    <t xml:space="preserve">Technical Staff cannot access Staff Management or Price Management</t>
  </si>
  <si>
    <t xml:space="preserve">Fixed with REQ071. (was: Staff Management is blocked. Price: see REQ071 (Technical Staff can set prices on new products).)</t>
  </si>
  <si>
    <t xml:space="preserve">Fixed together with REQ071.</t>
  </si>
  <si>
    <t xml:space="preserve">Sales Staff: walk-in orders + catalog viewing only</t>
  </si>
  <si>
    <t xml:space="preserve">57f4d80: Sales Staff limited to POS (with Today's Sales) + read-only catalog. (was: Sales Staff can also open Dashboard, Orders, Products (with editing), and Notifications. Orders access was added deliberately on 2026-10-01 for the Walk-in Orders tab.)</t>
  </si>
  <si>
    <t xml:space="preserve">Client said Sales Staff is 'POS lang' (Interviews 2, 4). Either trim access, or reword REQ121 to include walk-in history.</t>
  </si>
  <si>
    <t xml:space="preserve">p.61; Interviews 2, 4</t>
  </si>
  <si>
    <t xml:space="preserve">Audit Log</t>
  </si>
  <si>
    <t xml:space="preserve">Log price changes, voids, wholesale exchanges, write-offs with user, time, record, before/after, reason</t>
  </si>
  <si>
    <t xml:space="preserve">js/products-data.js:664</t>
  </si>
  <si>
    <t xml:space="preserve">Structured Record / Before / After / Reason on price changes, voids, write-offs (manual + Bad Order), wholesale exchanges, free-of-cost, stock-count adjustments, 6-month moves and account changes; shown as columns in Audit Log and its PDF/Excel export (2026-10-25). Other events stay text-only. IP shown as - (no server to read it). (was: free-text before/after.)</t>
  </si>
  <si>
    <t xml:space="preserve">Comes with the void/exchange/reason work.</t>
  </si>
  <si>
    <t xml:space="preserve">REQ123</t>
  </si>
  <si>
    <t xml:space="preserve">Audit log accessible to BM and Technical Staff</t>
  </si>
  <si>
    <t xml:space="preserve">p.62</t>
  </si>
  <si>
    <t xml:space="preserve">REQ124</t>
  </si>
  <si>
    <t xml:space="preserve">Entries can't be edited or deleted</t>
  </si>
  <si>
    <t xml:space="preserve">firestore.rules:156</t>
  </si>
  <si>
    <t xml:space="preserve">REQNF001</t>
  </si>
  <si>
    <t xml:space="preserve">Usability</t>
  </si>
  <si>
    <t xml:space="preserve">Consistent, organized layout</t>
  </si>
  <si>
    <t xml:space="preserve">css/style.css</t>
  </si>
  <si>
    <t xml:space="preserve">REQNF002</t>
  </si>
  <si>
    <t xml:space="preserve">Meaningful feedback messages</t>
  </si>
  <si>
    <t xml:space="preserve">js/products-data.js (showAppAlert)</t>
  </si>
  <si>
    <t xml:space="preserve">REQNF003</t>
  </si>
  <si>
    <t xml:space="preserve">Works on desktop, laptop, tablet, phone</t>
  </si>
  <si>
    <t xml:space="preserve">Bootstrap 5 responsive</t>
  </si>
  <si>
    <t xml:space="preserve">Not yet tested on real phones/tablets.</t>
  </si>
  <si>
    <t xml:space="preserve">Quick Playwright pass at phone widths.</t>
  </si>
  <si>
    <t xml:space="preserve">REQNF004</t>
  </si>
  <si>
    <t xml:space="preserve">Performance</t>
  </si>
  <si>
    <t xml:space="preserve">Standard operations load in reasonable time</t>
  </si>
  <si>
    <t xml:space="preserve">Not measured. Several pages read whole collections.</t>
  </si>
  <si>
    <t xml:space="preserve">Fine at client's volume (~50-100 customers/week, Interview 4).</t>
  </si>
  <si>
    <t xml:space="preserve">Inventory/order changes appear without manual refresh</t>
  </si>
  <si>
    <t xml:space="preserve">all pages use one-time .get() reads</t>
  </si>
  <si>
    <t xml:space="preserve">21e505b: online orders, inventory, POS today's sales, customer order list and order page, chat, chat order cards, the staff bell (new orders, chats waiting) and the Dashboard order tiles update live. Sales and stock tiles refresh on load; the shop catalog refreshes every 5 minutes (checkout re-checks stock live). (was: Users must reload to see new orders or stock changes.)</t>
  </si>
  <si>
    <t xml:space="preserve">Live listeners on key screens (verification queue, customer order page) are moderate work; or reword.</t>
  </si>
  <si>
    <t xml:space="preserve">p.63</t>
  </si>
  <si>
    <t xml:space="preserve">REQNF006</t>
  </si>
  <si>
    <t xml:space="preserve">Reports in reasonable time</t>
  </si>
  <si>
    <t xml:space="preserve">Reports query only the chosen period's sales, write-offs and POs. (was: Reports not built yet.)</t>
  </si>
  <si>
    <t xml:space="preserve">REQNF007</t>
  </si>
  <si>
    <t xml:space="preserve">Compatibility</t>
  </si>
  <si>
    <t xml:space="preserve">Chrome, Firefox, Edge, Safari</t>
  </si>
  <si>
    <t xml:space="preserve">Not tested across browsers.</t>
  </si>
  <si>
    <t xml:space="preserve">Test before defense.</t>
  </si>
  <si>
    <t xml:space="preserve">REQNF008</t>
  </si>
  <si>
    <t xml:space="preserve">Integrates OpenAI, EmailJS, QR PH</t>
  </si>
  <si>
    <t xml:space="preserve">js/otp.js; js/emailjs-config.js</t>
  </si>
  <si>
    <t xml:space="preserve">EmailJS works; AI is Gemini via Firebase AI Logic (paper: OpenAI); QR Ph image still missing. (was: EmailJS works; QR PH is a static image (missing, see REQ028); OpenAI not integrated.)</t>
  </si>
  <si>
    <t xml:space="preserve">Follows the live chat decision.</t>
  </si>
  <si>
    <t xml:space="preserve">REQNF009</t>
  </si>
  <si>
    <t xml:space="preserve">Security</t>
  </si>
  <si>
    <t xml:space="preserve">Passwords securely hashed, never exposed</t>
  </si>
  <si>
    <t xml:space="preserve">Firebase Auth</t>
  </si>
  <si>
    <t xml:space="preserve">Handled by Firebase Auth.</t>
  </si>
  <si>
    <t xml:space="preserve">REQNF010</t>
  </si>
  <si>
    <t xml:space="preserve">Encrypted connection</t>
  </si>
  <si>
    <t xml:space="preserve">start-server.bat (http-server)</t>
  </si>
  <si>
    <t xml:space="preserve">Hosted on Firebase Hosting over HTTPS (https://amsonpharma.web.app), 2026-10-25. (was: plain HTTP locally, no hosted deployment.)</t>
  </si>
  <si>
    <t xml:space="preserve">Resolved by deploying (see REQNF013).</t>
  </si>
  <si>
    <t xml:space="preserve">RBAC: customers can't reach admin; each staff role limited</t>
  </si>
  <si>
    <t xml:space="preserve">js/admin-roles.js; firestore.rules (isStaff, isPriceManager, isProductEditor, posSales)</t>
  </si>
  <si>
    <t xml:space="preserve">Fixed in 5223385 and 7fdbde9, published 2026-10-24: the database rules now limit each staff role too (BM-only prices and staff accounts, Sales Staff POS + read-only catalog, voids BM/Technical). (was: Pages are restricted per role in the browser, but the database rules treat every staff role the same.)</t>
  </si>
  <si>
    <t xml:space="preserve">Enforced in the browser and in the database.</t>
  </si>
  <si>
    <t xml:space="preserve">REQNF012</t>
  </si>
  <si>
    <t xml:space="preserve">No patient data sent to OpenAI</t>
  </si>
  <si>
    <t xml:space="preserve">No AI chat yet.</t>
  </si>
  <si>
    <t xml:space="preserve">Applies only if chat is built.</t>
  </si>
  <si>
    <t xml:space="preserve">REQNF013</t>
  </si>
  <si>
    <t xml:space="preserve">Reliability</t>
  </si>
  <si>
    <t xml:space="preserve">Hosted with uptime + recovery</t>
  </si>
  <si>
    <t xml:space="preserve">Hosted on Firebase Hosting since 2026-10-25 (Google infrastructure, HTTPS). Recovery: no scheduled backups on the free plan; delete protection to be turned on (#191). (was: not hosted.)</t>
  </si>
  <si>
    <t xml:space="preserve">Firebase Hosting (free, HTTPS) is an option; otherwise move hosting to Limitations.</t>
  </si>
  <si>
    <t xml:space="preserve">p.64</t>
  </si>
  <si>
    <t xml:space="preserve">REQNF014</t>
  </si>
  <si>
    <t xml:space="preserve">Descriptive error messages</t>
  </si>
  <si>
    <t xml:space="preserve">js/*</t>
  </si>
  <si>
    <t xml:space="preserve">REQNF015</t>
  </si>
  <si>
    <t xml:space="preserve">Scalability</t>
  </si>
  <si>
    <t xml:space="preserve">Supports growth without structural change</t>
  </si>
  <si>
    <t xml:space="preserve">Firestore</t>
  </si>
  <si>
    <t xml:space="preserve">REQNF016</t>
  </si>
  <si>
    <t xml:space="preserve">New branches addable later</t>
  </si>
  <si>
    <t xml:space="preserve">Single-branch by design (Limitations).</t>
  </si>
  <si>
    <t xml:space="preserve">Maintainability</t>
  </si>
  <si>
    <t xml:space="preserve">Modular code with documentation</t>
  </si>
  <si>
    <t xml:space="preserve">77336f3: README with setup, services, rules publishing, roles and deployment. (was: Modular, but no README or setup documentation (an error message even points to a missing README.md).)</t>
  </si>
  <si>
    <t xml:space="preserve">Write a README.</t>
  </si>
  <si>
    <t xml:space="preserve">REQNF018</t>
  </si>
  <si>
    <t xml:space="preserve">Admins manage products/users/inventory without a developer</t>
  </si>
  <si>
    <t xml:space="preserve">admin/*</t>
  </si>
  <si>
    <t xml:space="preserve">REQNF019</t>
  </si>
  <si>
    <t xml:space="preserve">Portability</t>
  </si>
  <si>
    <t xml:space="preserve">Deployable elsewhere without restructuring</t>
  </si>
  <si>
    <t xml:space="preserve">static site</t>
  </si>
  <si>
    <t xml:space="preserve">p.65</t>
  </si>
  <si>
    <t xml:space="preserve">REQNF020</t>
  </si>
  <si>
    <t xml:space="preserve">Data export in PDF and Excel</t>
  </si>
  <si>
    <t xml:space="preserve">Every report and Export button gives PDF or Excel. (was: Only Sales Analytics exports.)</t>
  </si>
  <si>
    <t xml:space="preserve">Comes with the Reports module.</t>
  </si>
  <si>
    <t xml:space="preserve">REQNF021</t>
  </si>
  <si>
    <t xml:space="preserve">Accessibility</t>
  </si>
  <si>
    <t xml:space="preserve">Usable with basic digital literacy</t>
  </si>
  <si>
    <t xml:space="preserve">To be confirmed in the TAM evaluation.</t>
  </si>
  <si>
    <t xml:space="preserve">REQNF022</t>
  </si>
  <si>
    <t xml:space="preserve">Any modern browser, no install</t>
  </si>
  <si>
    <t xml:space="preserve">REQNF023</t>
  </si>
  <si>
    <t xml:space="preserve">Adaptability</t>
  </si>
  <si>
    <t xml:space="preserve">New features without rebuild</t>
  </si>
  <si>
    <t xml:space="preserve">REQNF024</t>
  </si>
  <si>
    <t xml:space="preserve">Future courier/payment/SMS integration</t>
  </si>
  <si>
    <t xml:space="preserve">REQNF025</t>
  </si>
  <si>
    <t xml:space="preserve">Compliance</t>
  </si>
  <si>
    <t xml:space="preserve">Data Privacy Act 2012</t>
  </si>
  <si>
    <t xml:space="preserve">footer links href='#'</t>
  </si>
  <si>
    <t xml:space="preserve">Privacy Policy rewritten for the Data Privacy Act and linked from every footer (client to review). (was: Terms/Privacy shown at registration, but footer Privacy Policy and Terms links go nowhere.)</t>
  </si>
  <si>
    <t xml:space="preserve">Point footer links to the existing legal text.</t>
  </si>
  <si>
    <t xml:space="preserve">REQNF026</t>
  </si>
  <si>
    <t xml:space="preserve">Cultural</t>
  </si>
  <si>
    <t xml:space="preserve">English throughout</t>
  </si>
  <si>
    <t xml:space="preserve">p.66</t>
  </si>
  <si>
    <t xml:space="preserve">REQNF027</t>
  </si>
  <si>
    <t xml:space="preserve">Peso with 2 decimals and commas</t>
  </si>
  <si>
    <t xml:space="preserve">js/products-data.js (formatPeso)</t>
  </si>
  <si>
    <t xml:space="preserve">Dates MM/DD/YYYY, 12-hour AM/PM</t>
  </si>
  <si>
    <t xml:space="preserve">js/admin-inventory.js:210; js/admin-audit-log.js:63</t>
  </si>
  <si>
    <t xml:space="preserve">847c877: one MM/DD/YYYY + 12-hour formatter on every screen, receipt and export. (was: Several screens use 'Oct 18, 2026' or 'October 2026'; the audit log uses a 2-digit hour.)</t>
  </si>
  <si>
    <t xml:space="preserve">Small: one shared date formatter.</t>
  </si>
  <si>
    <t xml:space="preserve">REQNF029</t>
  </si>
  <si>
    <t xml:space="preserve">Clear, professional language</t>
  </si>
  <si>
    <t xml:space="preserve">shop/*.html footer</t>
  </si>
  <si>
    <t xml:space="preserve">Filler text removed from the footer. (was: Footer says 'Amson about description sample text'.)</t>
  </si>
  <si>
    <t xml:space="preserve">Copy fix.</t>
  </si>
  <si>
    <t xml:space="preserve">Figure</t>
  </si>
  <si>
    <t xml:space="preserve">Use case</t>
  </si>
  <si>
    <t xml:space="preserve">Actor(s)</t>
  </si>
  <si>
    <t xml:space="preserve">Maps to</t>
  </si>
  <si>
    <t xml:space="preserve">2.2</t>
  </si>
  <si>
    <t xml:space="preserve">Browse Product Catalog</t>
  </si>
  <si>
    <t xml:space="preserve">Guest, Sales Staff</t>
  </si>
  <si>
    <t xml:space="preserve">Sales Staff can browse the admin Products page.</t>
  </si>
  <si>
    <t xml:space="preserve">View Product Details</t>
  </si>
  <si>
    <t xml:space="preserve">Guest</t>
  </si>
  <si>
    <t xml:space="preserve">Dosage notes missing.</t>
  </si>
  <si>
    <t xml:space="preserve">Filter and Search Products</t>
  </si>
  <si>
    <t xml:space="preserve">REQ010-012</t>
  </si>
  <si>
    <t xml:space="preserve">Header search + price/stock filters.</t>
  </si>
  <si>
    <t xml:space="preserve">Register Account</t>
  </si>
  <si>
    <t xml:space="preserve">REQ001-006</t>
  </si>
  <si>
    <t xml:space="preserve">Access Live Chat</t>
  </si>
  <si>
    <t xml:space="preserve">REQ035-037</t>
  </si>
  <si>
    <t xml:space="preserve">80b3988</t>
  </si>
  <si>
    <t xml:space="preserve">Manage Live Chat</t>
  </si>
  <si>
    <t xml:space="preserve">(no actor connected)</t>
  </si>
  <si>
    <t xml:space="preserve">REQ108-110</t>
  </si>
  <si>
    <t xml:space="preserve">80b3988: built; Fig 2.2 still needs the actor line (paper edit).</t>
  </si>
  <si>
    <t xml:space="preserve">Process Walk-in Purchase</t>
  </si>
  <si>
    <t xml:space="preserve">Sales Staff, Technical Staff</t>
  </si>
  <si>
    <t xml:space="preserve">Login to Account</t>
  </si>
  <si>
    <t xml:space="preserve">Sales, Technical, Registered User</t>
  </si>
  <si>
    <t xml:space="preserve">REQ004-005, 043-045</t>
  </si>
  <si>
    <t xml:space="preserve">Device OTP built (7ede9d4). (was: No unrecognized-device OTP.)</t>
  </si>
  <si>
    <t xml:space="preserve">Update Account Settings</t>
  </si>
  <si>
    <t xml:space="preserve">REQ040-041</t>
  </si>
  <si>
    <t xml:space="preserve">No profile picture or email toggle.</t>
  </si>
  <si>
    <t xml:space="preserve">Manage Inventory</t>
  </si>
  <si>
    <t xml:space="preserve">Technical Staff</t>
  </si>
  <si>
    <t xml:space="preserve">REQ049-052</t>
  </si>
  <si>
    <t xml:space="preserve">Manage Online Order Queue</t>
  </si>
  <si>
    <t xml:space="preserve">REQ074-076</t>
  </si>
  <si>
    <t xml:space="preserve">Manage Product Catalog</t>
  </si>
  <si>
    <t xml:space="preserve">REQ068-070</t>
  </si>
  <si>
    <t xml:space="preserve">Manage Wholesale Accounts</t>
  </si>
  <si>
    <t xml:space="preserve">REQ085-086</t>
  </si>
  <si>
    <t xml:space="preserve">Process Wholesale Purchase</t>
  </si>
  <si>
    <t xml:space="preserve">Generate Reports</t>
  </si>
  <si>
    <t xml:space="preserve">REQ111-115</t>
  </si>
  <si>
    <t xml:space="preserve">bf16804: Reports page.</t>
  </si>
  <si>
    <t xml:space="preserve">Receive Supplier Delivery</t>
  </si>
  <si>
    <t xml:space="preserve">REQ062-063</t>
  </si>
  <si>
    <t xml:space="preserve">Month-End Stock Reconciliation</t>
  </si>
  <si>
    <t xml:space="preserve">REQ059-061</t>
  </si>
  <si>
    <t xml:space="preserve">06574da: BM finalizes; variance reason logged.</t>
  </si>
  <si>
    <t xml:space="preserve">View Audit Log</t>
  </si>
  <si>
    <t xml:space="preserve">Overall diagram text implies BM-only - see C6.</t>
  </si>
  <si>
    <t xml:space="preserve">Update Product Price</t>
  </si>
  <si>
    <t xml:space="preserve">Branch Manager</t>
  </si>
  <si>
    <t xml:space="preserve">REQ071-073</t>
  </si>
  <si>
    <t xml:space="preserve">BM-only prices everywhere (rules published 2026-10-24).</t>
  </si>
  <si>
    <t xml:space="preserve">Create Staff Account</t>
  </si>
  <si>
    <t xml:space="preserve">Manage Staff Accounts</t>
  </si>
  <si>
    <t xml:space="preserve">REQ118-119</t>
  </si>
  <si>
    <t xml:space="preserve">View Order History</t>
  </si>
  <si>
    <t xml:space="preserve">Registered User</t>
  </si>
  <si>
    <t xml:space="preserve">REQ031-032</t>
  </si>
  <si>
    <t xml:space="preserve">Manage Cart</t>
  </si>
  <si>
    <t xml:space="preserve">REQ014-016</t>
  </si>
  <si>
    <t xml:space="preserve">77336f3: cart saved on the account.</t>
  </si>
  <si>
    <t xml:space="preserve">Proceed to Checkout</t>
  </si>
  <si>
    <t xml:space="preserve">REQ017-020</t>
  </si>
  <si>
    <t xml:space="preserve">Process Prescription Pre Order</t>
  </si>
  <si>
    <t xml:space="preserve">REQ021-027</t>
  </si>
  <si>
    <t xml:space="preserve">082ec92: approve/reject built. Name still differs from Fig 2.4 ('Submit Prescription Pre-Order') - paper edit.</t>
  </si>
  <si>
    <t xml:space="preserve">2.3</t>
  </si>
  <si>
    <t xml:space="preserve">Register Account &lt;&lt;include&gt;&gt; Verify Email</t>
  </si>
  <si>
    <t xml:space="preserve">REQ001-002</t>
  </si>
  <si>
    <t xml:space="preserve">Login to Account &lt;&lt;extend&gt;&gt; Verify OTP</t>
  </si>
  <si>
    <t xml:space="preserve">Staff, Registered User</t>
  </si>
  <si>
    <t xml:space="preserve">Built (7ede9d4).</t>
  </si>
  <si>
    <t xml:space="preserve">Login to Account &lt;&lt;extend&gt;&gt; Recover Password</t>
  </si>
  <si>
    <t xml:space="preserve">REQ007, REQ046</t>
  </si>
  <si>
    <t xml:space="preserve">REQ040-042</t>
  </si>
  <si>
    <t xml:space="preserve">2.4</t>
  </si>
  <si>
    <t xml:space="preserve">Submit Prescription Pre-Order</t>
  </si>
  <si>
    <t xml:space="preserve">082ec92: separate prescription approval/rejection with reason.</t>
  </si>
  <si>
    <t xml:space="preserve">Add Item to Cart</t>
  </si>
  <si>
    <t xml:space="preserve">&lt;&lt;extend&gt;&gt; Download Order Receipt</t>
  </si>
  <si>
    <t xml:space="preserve">&lt;&lt;extend&gt;&gt; Track Order Status</t>
  </si>
  <si>
    <t xml:space="preserve">Tracking link shown once dispatched.</t>
  </si>
  <si>
    <t xml:space="preserve">&lt;&lt;extend&gt;&gt; Confirm Order Receipt</t>
  </si>
  <si>
    <t xml:space="preserve">Sets 'Received' - see C1.</t>
  </si>
  <si>
    <t xml:space="preserve">REQ015-016</t>
  </si>
  <si>
    <t xml:space="preserve">Proceed to Checkout &lt;&lt;include&gt;&gt; Upload Payment Proof &lt;&lt;include&gt;&gt; Place Order</t>
  </si>
  <si>
    <t xml:space="preserve">REQ017-030</t>
  </si>
  <si>
    <t xml:space="preserve">Paper: include chain direction is unusual (Upload Payment Proof including Place Order).</t>
  </si>
  <si>
    <t xml:space="preserve">2.5</t>
  </si>
  <si>
    <t xml:space="preserve">Technical Staff (+BM)</t>
  </si>
  <si>
    <t xml:space="preserve">&lt;&lt;extend&gt;&gt; Monitor FEFO Expiration Alerts</t>
  </si>
  <si>
    <t xml:space="preserve">REQ065-067</t>
  </si>
  <si>
    <t xml:space="preserve">6-month Wholesale Only + 2-month Bad Order (d2a957b).</t>
  </si>
  <si>
    <t xml:space="preserve">&lt;&lt;extend&gt;&gt; Write Off Unsellable Stock &lt;&lt;include&gt;&gt; Record Reason</t>
  </si>
  <si>
    <t xml:space="preserve">REQ051-052</t>
  </si>
  <si>
    <t xml:space="preserve">Month-End Stock Reconciliation &lt;&lt;include&gt;&gt; Enter Physical Counts</t>
  </si>
  <si>
    <t xml:space="preserve">Receive Supplier Delivery &lt;&lt;include&gt;&gt; Add Stock Receiving Entry</t>
  </si>
  <si>
    <t xml:space="preserve">Create Purchase Order</t>
  </si>
  <si>
    <t xml:space="preserve">Paper: missing from overall diagram 2.2.</t>
  </si>
  <si>
    <t xml:space="preserve">2.6</t>
  </si>
  <si>
    <t xml:space="preserve">&lt;&lt;include&gt;&gt; Generate Transaction Record</t>
  </si>
  <si>
    <t xml:space="preserve">Sales/Technical</t>
  </si>
  <si>
    <t xml:space="preserve">Retail only; no wholesale invoice.</t>
  </si>
  <si>
    <t xml:space="preserve">&lt;&lt;extend&gt;&gt; Print Transaction Receipt</t>
  </si>
  <si>
    <t xml:space="preserve">Modules p.44</t>
  </si>
  <si>
    <t xml:space="preserve">57f4d80: Print button with 58mm receipt layout.</t>
  </si>
  <si>
    <t xml:space="preserve">&lt;&lt;extend&gt;&gt; Void Walk-in Transaction &lt;&lt;include&gt;&gt; Record Reason for Void</t>
  </si>
  <si>
    <t xml:space="preserve">57f4d80: void with required reason.</t>
  </si>
  <si>
    <t xml:space="preserve">Manage Online Order Queue &lt;&lt;extend&gt;&gt; Verify Proof of Payment</t>
  </si>
  <si>
    <t xml:space="preserve">REQ094-095</t>
  </si>
  <si>
    <t xml:space="preserve">&lt;&lt;extend&gt;&gt; Place Order on Hold</t>
  </si>
  <si>
    <t xml:space="preserve">REQ096-099</t>
  </si>
  <si>
    <t xml:space="preserve">&lt;&lt;extend&gt;&gt; Confirm Online Order &lt;&lt;include&gt;&gt; Generate Transaction Record</t>
  </si>
  <si>
    <t xml:space="preserve">Generate Reports &lt;&lt;extend&gt;&gt; Export Reports</t>
  </si>
  <si>
    <t xml:space="preserve">bf16804: Reports page in the client's formats.</t>
  </si>
  <si>
    <t xml:space="preserve">Process Wholesale Purchase &lt;&lt;include&gt;&gt; Record Wholesale Purchase Order</t>
  </si>
  <si>
    <t xml:space="preserve">No wholesale sales invoice.</t>
  </si>
  <si>
    <t xml:space="preserve">(no bubble) Verify Prescription</t>
  </si>
  <si>
    <t xml:space="preserve">REQ077-081</t>
  </si>
  <si>
    <t xml:space="preserve">Paper: RX verification has requirements but no use case in Fig 2.2 or 2.6.</t>
  </si>
  <si>
    <t xml:space="preserve">(no bubble) Free-of-Cost Distribution</t>
  </si>
  <si>
    <t xml:space="preserve">Paper: no use case in any figure (wholesale exchange is in Fig 2.7).</t>
  </si>
  <si>
    <t xml:space="preserve">2.7</t>
  </si>
  <si>
    <t xml:space="preserve">Dosage notes missing; category rename uses native prompt.</t>
  </si>
  <si>
    <t xml:space="preserve">Manage Supplier Accounts</t>
  </si>
  <si>
    <t xml:space="preserve">No document expiry tracking.</t>
  </si>
  <si>
    <t xml:space="preserve">&lt;&lt;extend&gt;&gt; Process Wholesale Exchange Request</t>
  </si>
  <si>
    <t xml:space="preserve">Purchase History -&gt; Exchange.</t>
  </si>
  <si>
    <t xml:space="preserve">&lt;&lt;include&gt;&gt; Adjust Inventory for Exchange</t>
  </si>
  <si>
    <t xml:space="preserve">Return to batch + FEFO replacement in one transaction.</t>
  </si>
  <si>
    <t xml:space="preserve">Manage Online Customer Accounts</t>
  </si>
  <si>
    <t xml:space="preserve">REQ116-117</t>
  </si>
  <si>
    <t xml:space="preserve">847c877: order history listed in the profile.</t>
  </si>
  <si>
    <t xml:space="preserve">REQ123-124</t>
  </si>
  <si>
    <t xml:space="preserve">REQ071-072</t>
  </si>
  <si>
    <t xml:space="preserve">&lt;&lt;include&gt;&gt; Record Price Change in Audit Log</t>
  </si>
  <si>
    <t xml:space="preserve">No reason captured.</t>
  </si>
  <si>
    <t xml:space="preserve">Create Staff Account &lt;&lt;include&gt;&gt; Assign Staff Role</t>
  </si>
  <si>
    <t xml:space="preserve">Shared validators not applied.</t>
  </si>
  <si>
    <t xml:space="preserve">Editing an Administrator silently changes it to Branch Manager.</t>
  </si>
  <si>
    <t xml:space="preserve">Step / flow</t>
  </si>
  <si>
    <t xml:space="preserve">Paper shows</t>
  </si>
  <si>
    <t xml:space="preserve">System does</t>
  </si>
  <si>
    <t xml:space="preserve">2.8</t>
  </si>
  <si>
    <t xml:space="preserve">Validate credentials -&gt; role redirect</t>
  </si>
  <si>
    <t xml:space="preserve">Valid login: customer to Home, staff to Dashboard</t>
  </si>
  <si>
    <t xml:space="preserve">Same (js/auth.js:94)</t>
  </si>
  <si>
    <t xml:space="preserve">Failed attempts</t>
  </si>
  <si>
    <t xml:space="preserve">Increment count; at 5, lock 2 minutes; back to Login page</t>
  </si>
  <si>
    <t xml:space="preserve">Same (js/auth.js:57)</t>
  </si>
  <si>
    <t xml:space="preserve">Device recognition + OTP</t>
  </si>
  <si>
    <t xml:space="preserve">Check if device is recognized; if not, send and validate OTP</t>
  </si>
  <si>
    <t xml:space="preserve">Same (js/auth.js startDeviceVerification)</t>
  </si>
  <si>
    <t xml:space="preserve">REQ005/REQ044, 7ede9d4.</t>
  </si>
  <si>
    <t xml:space="preserve">Wrong OTP</t>
  </si>
  <si>
    <t xml:space="preserve">Diagram: 'No' from Validate OTP joins the failed-attempt counter (counts toward lockout). Text p.77: user is prompted to request a new OTP.</t>
  </si>
  <si>
    <t xml:space="preserve">Diagram and text disagree (C13).</t>
  </si>
  <si>
    <t xml:space="preserve">Steps the system has that the diagram lacks</t>
  </si>
  <si>
    <t xml:space="preserve">Not shown</t>
  </si>
  <si>
    <t xml:space="preserve">reCAPTCHA check, rejecting attempts while locked, blocking deactivated accounts, sending unverified customers to email verification</t>
  </si>
  <si>
    <t xml:space="preserve">Add to diagram; all are in requirements (REQ003, REQ004, REQ117, REQ002).</t>
  </si>
  <si>
    <t xml:space="preserve">2.9</t>
  </si>
  <si>
    <t xml:space="preserve">Validate fields -&gt; duplicate email -&gt; Terms -&gt; send code</t>
  </si>
  <si>
    <t xml:space="preserve">Fields validated, then duplicate check, then Terms shown and accepted, then code sent</t>
  </si>
  <si>
    <t xml:space="preserve">Terms modal opens when the checkbox is ticked (before submit); duplicate email is caught by Firebase at account creation; code sent after</t>
  </si>
  <si>
    <t xml:space="preserve">Same outcome, different order (C14).</t>
  </si>
  <si>
    <t xml:space="preserve">Wrong / expired code</t>
  </si>
  <si>
    <t xml:space="preserve">Loop back to Enter Code (diagram); text p.79 adds 'request a new code'</t>
  </si>
  <si>
    <t xml:space="preserve">Retry or Resend link (js/verify-email.js)</t>
  </si>
  <si>
    <t xml:space="preserve">Add Resend to diagram.</t>
  </si>
  <si>
    <t xml:space="preserve">After verification</t>
  </si>
  <si>
    <t xml:space="preserve">Go to Login</t>
  </si>
  <si>
    <t xml:space="preserve">Same: after registering, the code signs them out and opens Login with the email filled in</t>
  </si>
  <si>
    <t xml:space="preserve">C10 resolved.</t>
  </si>
  <si>
    <t xml:space="preserve">Account activation</t>
  </si>
  <si>
    <t xml:space="preserve">Account activated only after the code is verified</t>
  </si>
  <si>
    <t xml:space="preserve">Login account is created first with emailVerified:false; unverified customers are redirected to verification on login</t>
  </si>
  <si>
    <t xml:space="preserve">Functionally equivalent; note the REQ002 bypass issue.</t>
  </si>
  <si>
    <t xml:space="preserve">2.10</t>
  </si>
  <si>
    <t xml:space="preserve">Catalog -&gt; cart -&gt; checkout</t>
  </si>
  <si>
    <t xml:space="preserve">Browse, add to cart, updated cart summary, checkout</t>
  </si>
  <si>
    <t xml:space="preserve">Same, plus choosing which cart items to check out</t>
  </si>
  <si>
    <t xml:space="preserve">Cart selection is an addition.</t>
  </si>
  <si>
    <t xml:space="preserve">Default address</t>
  </si>
  <si>
    <t xml:space="preserve">If saved, pre-fill; else enter</t>
  </si>
  <si>
    <t xml:space="preserve">Same (js/checkout.js)</t>
  </si>
  <si>
    <t xml:space="preserve">RX check position</t>
  </si>
  <si>
    <t xml:space="preserve">Diagram: RX is checked after the address and after uploading payment proof, so RX customers are still asked for a delivery address. Text p.81: RX check comes before payment and delivery is not allowed.</t>
  </si>
  <si>
    <t xml:space="preserve">RX detected when checkout opens; address section hidden; pick-up only</t>
  </si>
  <si>
    <t xml:space="preserve">Diagram contradicts REQ023 and its own text (C15).</t>
  </si>
  <si>
    <t xml:space="preserve">Prescription photo upload</t>
  </si>
  <si>
    <t xml:space="preserve">Not shown in the diagram (text p.81 and REQ021 require it)</t>
  </si>
  <si>
    <t xml:space="preserve">Required on the payment page for RX orders</t>
  </si>
  <si>
    <t xml:space="preserve">C15.</t>
  </si>
  <si>
    <t xml:space="preserve">Order status after submission</t>
  </si>
  <si>
    <t xml:space="preserve">Recorded as Pending Payment Verification (RX included)</t>
  </si>
  <si>
    <t xml:space="preserve">Same ('placed' = Order Pending Verification)</t>
  </si>
  <si>
    <t xml:space="preserve">Diagram supports the system; REQ024 says 'Pending Prescription Verification' (C3).</t>
  </si>
  <si>
    <t xml:space="preserve">Order submission notification</t>
  </si>
  <si>
    <t xml:space="preserve">System sends a notification to the customer</t>
  </si>
  <si>
    <t xml:space="preserve">Order-placed notice in the customer's bell</t>
  </si>
  <si>
    <t xml:space="preserve">Small: add an order-placed entry to the customer bell.</t>
  </si>
  <si>
    <t xml:space="preserve">Login required to check out, delivery schedule, store credit discount, live stock re-check before submitting</t>
  </si>
  <si>
    <t xml:space="preserve">Optional: add to diagram (delivery schedule is in Modules p.39).</t>
  </si>
  <si>
    <t xml:space="preserve">2.11</t>
  </si>
  <si>
    <t xml:space="preserve">Valid payment</t>
  </si>
  <si>
    <t xml:space="preserve">Confirm -&gt; notify customer -&gt; FEFO stock deduction -&gt; receipt</t>
  </si>
  <si>
    <t xml:space="preserve">Stock is deducted first; if stock ran out the order goes on an Out of Stock hold instead</t>
  </si>
  <si>
    <t xml:space="preserve">Diagram has no out-of-stock path (C19).</t>
  </si>
  <si>
    <t xml:space="preserve">RX pre-order after confirmation</t>
  </si>
  <si>
    <t xml:space="preserve">Diagram: admin copies delivery details, books courier and provides a tracking link before the system checks for RX</t>
  </si>
  <si>
    <t xml:space="preserve">RX orders skip courier booking and go straight to Ready for Pick-up</t>
  </si>
  <si>
    <t xml:space="preserve">RX orders can't be delivered (REQ080) (C17).</t>
  </si>
  <si>
    <t xml:space="preserve">Prescription review</t>
  </si>
  <si>
    <t xml:space="preserve">Not shown (payment screenshot only)</t>
  </si>
  <si>
    <t xml:space="preserve">082ec92: approve or reject (reason) before preparation; notify customer</t>
  </si>
  <si>
    <t xml:space="preserve">REQ077-079 require it (C3).</t>
  </si>
  <si>
    <t xml:space="preserve">Dispatch</t>
  </si>
  <si>
    <t xml:space="preserve">Admin provides tracking link; system marks Dispatched</t>
  </si>
  <si>
    <t xml:space="preserve">Customer now sees the tracking link; marking Dispatched with the link is still one step</t>
  </si>
  <si>
    <t xml:space="preserve">REQ034.</t>
  </si>
  <si>
    <t xml:space="preserve">Invalid payment</t>
  </si>
  <si>
    <t xml:space="preserve">On Hold -&gt; record reason -&gt; notify customer -&gt; re-upload -&gt; back to admin review</t>
  </si>
  <si>
    <t xml:space="preserve">Same (js/admin-online-orders.js:561; js/order-details.js)</t>
  </si>
  <si>
    <t xml:space="preserve">Resolution without re-upload</t>
  </si>
  <si>
    <t xml:space="preserve">Diagram: if the customer 'performed resolution action', the system confirms the order with no admin review</t>
  </si>
  <si>
    <t xml:space="preserve">Every resolution returns to staff (resubmission or Release Hold)</t>
  </si>
  <si>
    <t xml:space="preserve">Diagram contradicts REQ101 (C18).</t>
  </si>
  <si>
    <t xml:space="preserve">Overpayment</t>
  </si>
  <si>
    <t xml:space="preserve">Treated as an invalid payment (hold)</t>
  </si>
  <si>
    <t xml:space="preserve">Approved immediately; excess added to store credit</t>
  </si>
  <si>
    <t xml:space="preserve">C2.</t>
  </si>
  <si>
    <t xml:space="preserve">Expired hold</t>
  </si>
  <si>
    <t xml:space="preserve">Admin marks the order Unresolved</t>
  </si>
  <si>
    <t xml:space="preserve">Closed automatically after 7 days, with verified payment kept as credit</t>
  </si>
  <si>
    <t xml:space="preserve">REQ100 says automatic; move step to System lane and add credit retention.</t>
  </si>
  <si>
    <t xml:space="preserve">Fully credit-covered orders (no screenshot), Release Hold by staff</t>
  </si>
  <si>
    <t xml:space="preserve">Optional to add.</t>
  </si>
  <si>
    <t xml:space="preserve">2.12</t>
  </si>
  <si>
    <t xml:space="preserve">Write-off</t>
  </si>
  <si>
    <t xml:space="preserve">Select product + qty, reason -&gt; deduct -&gt; audit log -&gt; low-stock check/alert</t>
  </si>
  <si>
    <t xml:space="preserve">Same (js/admin-inventory.js:994)</t>
  </si>
  <si>
    <t xml:space="preserve">Stock receiving with a PO</t>
  </si>
  <si>
    <t xml:space="preserve">Link PO -&gt; enter details -&gt; match? add stock -&gt; audit log -&gt; low-stock check</t>
  </si>
  <si>
    <t xml:space="preserve">Receiving is now written to the audit log</t>
  </si>
  <si>
    <t xml:space="preserve">REQ122.</t>
  </si>
  <si>
    <t xml:space="preserve">Stock receiving: PO mismatch</t>
  </si>
  <si>
    <t xml:space="preserve">Diagram box repeats 'Verify if received quantities match PO quantities' -&gt; partial stock added -&gt; end</t>
  </si>
  <si>
    <t xml:space="preserve">Partial stock added, PO marked Discrepancy, acknowledgment required to close</t>
  </si>
  <si>
    <t xml:space="preserve">Copy-paste error in the diagram; should be 'Generate Discrepancy Report / Mark PO as Discrepancy', plus the acknowledgment step.</t>
  </si>
  <si>
    <t xml:space="preserve">Stock receiving without a PO / batch upload</t>
  </si>
  <si>
    <t xml:space="preserve">Not shown (text p.85 describes both)</t>
  </si>
  <si>
    <t xml:space="preserve">Both exist (manual Receive Stock, Excel/CSV upload)</t>
  </si>
  <si>
    <t xml:space="preserve">Add the no-PO branch and batch upload to the diagram.</t>
  </si>
  <si>
    <t xml:space="preserve">6-month flag</t>
  </si>
  <si>
    <t xml:space="preserve">Flag for pull-out -&gt; expiration alert -&gt; admin chooses Write Off or Reserve for Free-of-Cost</t>
  </si>
  <si>
    <t xml:space="preserve">Flagged automatically as Wholesale Only on every Inventory, Dashboard, POS and shop load (REQ066) + alert; no pull-out action choice</t>
  </si>
  <si>
    <t xml:space="preserve">REQ066 timing fix; 'Reserve for free-of-cost' could just be the Wholesale Only flag + REQ091.</t>
  </si>
  <si>
    <t xml:space="preserve">2-month Bad Order</t>
  </si>
  <si>
    <t xml:space="preserve">Flag Bad Order -&gt; alert -&gt; 'Apply FEFO-Based Stock Deduction'</t>
  </si>
  <si>
    <t xml:space="preserve">d2a957b: built; diagram box should say 'Write off batch (Bad Order)', not FEFO deduction</t>
  </si>
  <si>
    <t xml:space="preserve">Build REQ067; diagram should say 'Write off / deduct the batch', not FEFO deduction.</t>
  </si>
  <si>
    <t xml:space="preserve">Expiry decision order</t>
  </si>
  <si>
    <t xml:space="preserve">Diagram tests '&lt;6 months' before '&lt;2 months' (every &lt;2-month batch also matches &lt;6)</t>
  </si>
  <si>
    <t xml:space="preserve">Test &lt;2 months first.</t>
  </si>
  <si>
    <t xml:space="preserve">2.13</t>
  </si>
  <si>
    <t xml:space="preserve">Find or create buyer account</t>
  </si>
  <si>
    <t xml:space="preserve">Search -&gt; if new, enter details, upload documents, save</t>
  </si>
  <si>
    <t xml:space="preserve">Accounts searchable; create with LTO/permit upload (js/admin-wholesale-accounts.js:270)</t>
  </si>
  <si>
    <t xml:space="preserve">Check documents are current</t>
  </si>
  <si>
    <t xml:space="preserve">Text p.87: verify documents, upload renewals if expired. Diagram: 'View Buyer Documents' only</t>
  </si>
  <si>
    <t xml:space="preserve">5cad255: LTO/permit valid-until dates; expired documents block the order</t>
  </si>
  <si>
    <t xml:space="preserve">REQ086 expiry dates; add the validity check to the diagram.</t>
  </si>
  <si>
    <t xml:space="preserve">Purchase history</t>
  </si>
  <si>
    <t xml:space="preserve">View purchase history</t>
  </si>
  <si>
    <t xml:space="preserve">5cad255: Purchase History per buyer</t>
  </si>
  <si>
    <t xml:space="preserve">REQ089.</t>
  </si>
  <si>
    <t xml:space="preserve">Near-expiry items</t>
  </si>
  <si>
    <t xml:space="preserve">Enable free-of-cost pricing option for near-expiry items</t>
  </si>
  <si>
    <t xml:space="preserve">5cad255: free-of-cost option with reason and audit entry</t>
  </si>
  <si>
    <t xml:space="preserve">REQ091.</t>
  </si>
  <si>
    <t xml:space="preserve">Confirm -&gt; FEFO -&gt; sales invoice</t>
  </si>
  <si>
    <t xml:space="preserve">Confirm, FEFO deduction, generate sales invoice</t>
  </si>
  <si>
    <t xml:space="preserve">5cad255: sales invoice PDF with buyer, batch and expiry</t>
  </si>
  <si>
    <t xml:space="preserve">REQ092.</t>
  </si>
  <si>
    <t xml:space="preserve">2.14</t>
  </si>
  <si>
    <t xml:space="preserve">Select products, confirm, FEFO</t>
  </si>
  <si>
    <t xml:space="preserve">Select products + qty -&gt; confirm -&gt; FEFO deduction</t>
  </si>
  <si>
    <t xml:space="preserve">Same, plus a review screen with Edit/Confirm, payment method and change</t>
  </si>
  <si>
    <t xml:space="preserve">Optionally add the review step and payment method to the diagram.</t>
  </si>
  <si>
    <t xml:space="preserve">RX item</t>
  </si>
  <si>
    <t xml:space="preserve">Physically verify prescription -&gt; 'Mark RX as Verified' (drawn in the System lane)</t>
  </si>
  <si>
    <t xml:space="preserve">57f4d80: RX Verified checkbox + notes in POS</t>
  </si>
  <si>
    <t xml:space="preserve">Build REQ084. In the diagram, marking verified is a staff action, so it belongs in the staff lane.</t>
  </si>
  <si>
    <t xml:space="preserve">Print receipt</t>
  </si>
  <si>
    <t xml:space="preserve">System prints receipt</t>
  </si>
  <si>
    <t xml:space="preserve">57f4d80: Print button, 58mm layout</t>
  </si>
  <si>
    <t xml:space="preserve">Void</t>
  </si>
  <si>
    <t xml:space="preserve">Not shown (text p.89 and Fig 2.6 include it)</t>
  </si>
  <si>
    <t xml:space="preserve">57f4d80: void built</t>
  </si>
  <si>
    <t xml:space="preserve">Add the void branch to the diagram.</t>
  </si>
  <si>
    <t xml:space="preserve">2.15</t>
  </si>
  <si>
    <t xml:space="preserve">Select buyer -&gt; order -&gt; returned item -&gt; replacement -&gt; reason</t>
  </si>
  <si>
    <t xml:space="preserve">As listed</t>
  </si>
  <si>
    <t xml:space="preserve">Built from Purchase History</t>
  </si>
  <si>
    <t xml:space="preserve">REQ090.</t>
  </si>
  <si>
    <t xml:space="preserve">Inventory adjustment</t>
  </si>
  <si>
    <t xml:space="preserve">Diagram: FEFO deduction of the replacement only. Text p.91: returned item also added back to stock</t>
  </si>
  <si>
    <t xml:space="preserve">Returned units back to their batch + FEFO replacement</t>
  </si>
  <si>
    <t xml:space="preserve">Add 'Return item to stock' to the diagram.</t>
  </si>
  <si>
    <t xml:space="preserve">Audit log + document</t>
  </si>
  <si>
    <t xml:space="preserve">Diagram: 'Generate Sales Invoice'. Text p.91: audit log entry + 'wholesale exchange document'</t>
  </si>
  <si>
    <t xml:space="preserve">Audit entry + exchange document; diagram should say 'Generate Wholesale Exchange Document'</t>
  </si>
  <si>
    <t xml:space="preserve">Add the audit step and use one document name; REQ114 reports on these.</t>
  </si>
  <si>
    <t xml:space="preserve">Lane placement</t>
  </si>
  <si>
    <t xml:space="preserve">'Display Buyer Account and Order History' drawn in the Admin lane</t>
  </si>
  <si>
    <t xml:space="preserve">Move to the System lane.</t>
  </si>
  <si>
    <t xml:space="preserve">Topic</t>
  </si>
  <si>
    <t xml:space="preserve">Where the paper (or client) disagrees</t>
  </si>
  <si>
    <t xml:space="preserve">What the system does</t>
  </si>
  <si>
    <t xml:space="preserve">C1</t>
  </si>
  <si>
    <t xml:space="preserve">Who sets 'Delivered', and is there a 'Received' step?</t>
  </si>
  <si>
    <t xml:space="preserve">REQ031 (no Received), REQ105 (customer confirmation finalizes Delivered), REQ106 (auto Delivered after 3 days), Modules p.39-40 (customer marks delivered), Interview 4 ('mark as delivered siya ni customer')</t>
  </si>
  <si>
    <t xml:space="preserve">Staff marks Delivered or it auto-advances after 3 days; customer then confirms 'Received'.</t>
  </si>
  <si>
    <t xml:space="preserve">Change paper: define Delivered (staff/auto) and Received (customer) in REQ031, REQ105, Fig 2.4 text.</t>
  </si>
  <si>
    <t xml:space="preserve">C2</t>
  </si>
  <si>
    <t xml:space="preserve">Overpayment: hold or approve?</t>
  </si>
  <si>
    <t xml:space="preserve">REQ095, REQ098, Fig 2.6 text and Fig 2.11 text + diagram all treat overpayment as a hold (excess recorded as unapplied value) vs Interview 4 walkthrough (enter the excess; it goes to the customer's account for the next order; client agreed)</t>
  </si>
  <si>
    <t xml:space="preserve">Approves immediately and credits the excess.</t>
  </si>
  <si>
    <t xml:space="preserve">Change paper: rewrite REQ098 and Fig 2.6/2.11 to approve-and-credit; drop overpayment from the hold types.</t>
  </si>
  <si>
    <t xml:space="preserve">C3</t>
  </si>
  <si>
    <t xml:space="preserve">Is prescription approval a separate step?</t>
  </si>
  <si>
    <t xml:space="preserve">REQ024, REQ077-079, Modules p.43, Conceptual Framework, Fig 2.10 text (dedicated RX queue, 'Pending Prescription Verification', approve/reject with reason) vs Fig 2.10 diagram (RX recorded as Pending Payment Verification) and Fig 2.11 text + diagram (RX confirmed like any order, verification in person)</t>
  </si>
  <si>
    <t xml:space="preserve">Same as Fig 2.10/2.11 diagrams (payment approval only).</t>
  </si>
  <si>
    <t xml:space="preserve">Change system to match REQ077-079; then fix Fig 2.10 and 2.11.</t>
  </si>
  <si>
    <t xml:space="preserve">C4</t>
  </si>
  <si>
    <t xml:space="preserve">When can a walk-in sale be voided?</t>
  </si>
  <si>
    <t xml:space="preserve">REQ083 ('before finalization') and Fig 2.6 text ('void a completed transaction before finalization') vs Modules p.43 ('completed transactions may be voided', with original receipt number) vs Interview 4 (void after the receipt is printed, with receipt number, reason, optional exchange; not by a junior staff member alone)</t>
  </si>
  <si>
    <t xml:space="preserve">No void.</t>
  </si>
  <si>
    <t xml:space="preserve">Build void for completed sales with original receipt number; reword REQ083 and Fig 2.6/2.14 text to 'completed'.</t>
  </si>
  <si>
    <t xml:space="preserve">C5</t>
  </si>
  <si>
    <t xml:space="preserve">Who does month-end reconciliation?</t>
  </si>
  <si>
    <t xml:space="preserve">REQ061 (Branch Manager finalizes) vs Modules p.42 ('authorized staff' submit) vs Fig 2.5 text ('Branch Manager may open') vs Fig 2.5 diagram (Technical Staff connected)</t>
  </si>
  <si>
    <t xml:space="preserve">Anyone with Inventory access opens and finalizes.</t>
  </si>
  <si>
    <t xml:space="preserve">Technical Staff counts, Branch Manager finalizes. Align REQ061, Fig 2.5 text, and system.</t>
  </si>
  <si>
    <t xml:space="preserve">C6</t>
  </si>
  <si>
    <t xml:space="preserve">Who can view the audit log?</t>
  </si>
  <si>
    <t xml:space="preserve">Fig 2.2 text ('Branch Manager ... in addition to ... audit log review', implying BM-only) vs REQ123 and Fig 2.2 diagram (Technical Staff - View Audit Log)</t>
  </si>
  <si>
    <t xml:space="preserve">BM and Technical Staff.</t>
  </si>
  <si>
    <t xml:space="preserve">Change paper: fix the Fig 2.2 description sentence.</t>
  </si>
  <si>
    <t xml:space="preserve">C7</t>
  </si>
  <si>
    <t xml:space="preserve">Near-expiry rules</t>
  </si>
  <si>
    <t xml:space="preserve">REQ066 (6 months: remove + free-of-cost wholesale), REQ067 (2 months: Bad Order + auto-deduct), Modules FEFO p.41 (6-month pull-out only), Conceptual Framework (6-month pull-out, 2-month disposal), Interview 1 (6 months pull-out, 2 months BO)</t>
  </si>
  <si>
    <t xml:space="preserve">6-month wholesale-only flag; no 2-month handling.</t>
  </si>
  <si>
    <t xml:space="preserve">Build 2-month Bad Order; add it to the Modules FEFO paragraph.</t>
  </si>
  <si>
    <t xml:space="preserve">C8</t>
  </si>
  <si>
    <t xml:space="preserve">Price change reason</t>
  </si>
  <si>
    <t xml:space="preserve">REQ073 (previous price, new price, timestamp) vs REQ122 (reason for each entry) vs Interview 2 (client requires reason and date)</t>
  </si>
  <si>
    <t xml:space="preserve">System + paper: add a reason field; add 'reason' to REQ073.</t>
  </si>
  <si>
    <t xml:space="preserve">C9</t>
  </si>
  <si>
    <t xml:space="preserve">Wholesale 'agreed pricing'</t>
  </si>
  <si>
    <t xml:space="preserve">REQ085/087 (per-account agreed pricing) vs Interview 2 (special price for wholesalers, retail price online)</t>
  </si>
  <si>
    <t xml:space="preserve">Product-level wholesale price, editable per order.</t>
  </si>
  <si>
    <t xml:space="preserve">Change paper: describe a default wholesale price per product, adjustable per order.</t>
  </si>
  <si>
    <t xml:space="preserve">C10</t>
  </si>
  <si>
    <t xml:space="preserve">Email verification destination</t>
  </si>
  <si>
    <t xml:space="preserve">Fig 2.9 text + diagram (after verification, go to Login)</t>
  </si>
  <si>
    <t xml:space="preserve">System now matches: after registration it goes to Login.</t>
  </si>
  <si>
    <t xml:space="preserve">No change.</t>
  </si>
  <si>
    <t xml:space="preserve">C11</t>
  </si>
  <si>
    <t xml:space="preserve">Overall diagram completeness</t>
  </si>
  <si>
    <t xml:space="preserve">Fig 2.2 has no Create Purchase Order, Batch Upload, Verify Prescription, Payment Verification, Delivery, Customer Accounts, Suppliers, Notifications, Wholesale Exchange (all appear in Figs 2.5-2.7); 'Manage Live Chat' has no actor in 2.2 but is linked to Technical Staff in 2.7</t>
  </si>
  <si>
    <t xml:space="preserve">Change paper: add the missing bubbles to 2.2 or say it's a summary; connect Manage Live Chat.</t>
  </si>
  <si>
    <t xml:space="preserve">C12</t>
  </si>
  <si>
    <t xml:space="preserve">Pre-order naming</t>
  </si>
  <si>
    <t xml:space="preserve">Fig 2.2 'Process Prescription Pre Order' vs Fig 2.4 'Submit Prescription Pre-Order'</t>
  </si>
  <si>
    <t xml:space="preserve">Change paper: use one name.</t>
  </si>
  <si>
    <t xml:space="preserve">C13</t>
  </si>
  <si>
    <t xml:space="preserve">Wrong OTP at login</t>
  </si>
  <si>
    <t xml:space="preserve">Fig 2.8 diagram (wrong OTP feeds the failed-attempt counter) vs Fig 2.8 text p.77 (prompted to request a new OTP)</t>
  </si>
  <si>
    <t xml:space="preserve">System follows the text: a wrong code shows tries left, Resend sends a new one; 5 wrong codes sign the person out (does not feed the password lockout).</t>
  </si>
  <si>
    <t xml:space="preserve">Change the Fig 2.8 diagram: 'No' from Validate OTP goes back to Enter OTP / Request new OTP, not the failed-attempt counter.</t>
  </si>
  <si>
    <t xml:space="preserve">C14</t>
  </si>
  <si>
    <t xml:space="preserve">Registration order</t>
  </si>
  <si>
    <t xml:space="preserve">Fig 2.9 (validate, duplicate check, then Terms) vs system (Terms when ticking the checkbox, duplicate check at account creation)</t>
  </si>
  <si>
    <t xml:space="preserve">See left.</t>
  </si>
  <si>
    <t xml:space="preserve">Change paper: Terms before submit; duplicate check after.</t>
  </si>
  <si>
    <t xml:space="preserve">C15</t>
  </si>
  <si>
    <t xml:space="preserve">RX in the purchasing flow</t>
  </si>
  <si>
    <t xml:space="preserve">Fig 2.10 diagram (RX checked after address and payment upload; no prescription upload) vs Fig 2.10 text p.81 and REQ021/023 (RX decided first, pick-up only, prescription photo required)</t>
  </si>
  <si>
    <t xml:space="preserve">Matches the text, not the diagram.</t>
  </si>
  <si>
    <t xml:space="preserve">Change paper: redraw the RX branch in Fig 2.10.</t>
  </si>
  <si>
    <t xml:space="preserve">C16</t>
  </si>
  <si>
    <t xml:space="preserve">Fig 2.10 (system notifies customer on submission) vs REQ039 (order confirmations)</t>
  </si>
  <si>
    <t xml:space="preserve">No notification on submission.</t>
  </si>
  <si>
    <t xml:space="preserve">Change system (small).</t>
  </si>
  <si>
    <t xml:space="preserve">C17</t>
  </si>
  <si>
    <t xml:space="preserve">RX pre-orders and couriers</t>
  </si>
  <si>
    <t xml:space="preserve">Fig 2.11 diagram (courier booked and tracking link sent before the RX check) vs REQ023/080 (never delivered)</t>
  </si>
  <si>
    <t xml:space="preserve">RX skips courier booking.</t>
  </si>
  <si>
    <t xml:space="preserve">Change paper: branch RX before the courier steps.</t>
  </si>
  <si>
    <t xml:space="preserve">C18</t>
  </si>
  <si>
    <t xml:space="preserve">Resolving a hold</t>
  </si>
  <si>
    <t xml:space="preserve">Fig 2.11 diagram (customer resolution without re-upload confirms the order automatically) vs REQ101 (admin approval confirms)</t>
  </si>
  <si>
    <t xml:space="preserve">Every resolution goes back to staff.</t>
  </si>
  <si>
    <t xml:space="preserve">Change paper.</t>
  </si>
  <si>
    <t xml:space="preserve">C19</t>
  </si>
  <si>
    <t xml:space="preserve">Stock check at confirmation</t>
  </si>
  <si>
    <t xml:space="preserve">Fig 2.11 (notify confirmed, then FEFO deduction; no shortage path) vs REQ050</t>
  </si>
  <si>
    <t xml:space="preserve">Deducts first; shortage puts the order on an Out of Stock hold.</t>
  </si>
  <si>
    <t xml:space="preserve">Change paper: add the out-of-stock hold branch.</t>
  </si>
  <si>
    <t xml:space="preserve">Paper says</t>
  </si>
  <si>
    <t xml:space="preserve">System uses</t>
  </si>
  <si>
    <t xml:space="preserve">Image/file storage</t>
  </si>
  <si>
    <t xml:space="preserve">Google Firebase cloud storage (pp.35-36)</t>
  </si>
  <si>
    <t xml:space="preserve">Cloudinary (js/cloudinary.js)</t>
  </si>
  <si>
    <t xml:space="preserve">Firebase Storage needs the Blaze plan; Cloudinary is free. Name it in Technical Background and Software list.</t>
  </si>
  <si>
    <t xml:space="preserve">Hosting</t>
  </si>
  <si>
    <t xml:space="preserve">Netlify (pp.35, 37, Budget)</t>
  </si>
  <si>
    <t xml:space="preserve">Netlify (set up); local http-server for testing</t>
  </si>
  <si>
    <t xml:space="preserve">DECIDED: stay on Netlify. Budget row must match the chosen plan; Netlify Functions host the OpenAI call.</t>
  </si>
  <si>
    <t xml:space="preserve">Tables</t>
  </si>
  <si>
    <t xml:space="preserve">DataTable (pp.35, 37)</t>
  </si>
  <si>
    <t xml:space="preserve">Custom tables with search/sort/pagination</t>
  </si>
  <si>
    <t xml:space="preserve">Remove DataTable or describe as custom-built.</t>
  </si>
  <si>
    <t xml:space="preserve">Searchable dropdowns</t>
  </si>
  <si>
    <t xml:space="preserve">Not mentioned</t>
  </si>
  <si>
    <t xml:space="preserve">Choices.js</t>
  </si>
  <si>
    <t xml:space="preserve">Add to Software list.</t>
  </si>
  <si>
    <t xml:space="preserve">Email</t>
  </si>
  <si>
    <t xml:space="preserve">EmailJS for OTP, order confirmations, password reset (p.36)</t>
  </si>
  <si>
    <t xml:space="preserve">EmailJS for OTP only; password reset by Firebase Auth; no order emails</t>
  </si>
  <si>
    <t xml:space="preserve">Order emails are REQ039 (system). Password reset wording is paper.</t>
  </si>
  <si>
    <t xml:space="preserve">AI chat</t>
  </si>
  <si>
    <t xml:space="preserve">OpenAI API (pp.35, 37)</t>
  </si>
  <si>
    <t xml:space="preserve">Not integrated yet</t>
  </si>
  <si>
    <t xml:space="preserve">DECIDED: Gemini via Firebase AI Logic (free tier, no server needed); Groq as fallback. In the panel letter.</t>
  </si>
  <si>
    <t xml:space="preserve">Receipt printing</t>
  </si>
  <si>
    <t xml:space="preserve">Thermal receipt printing (pp.33, 44, 89)</t>
  </si>
  <si>
    <t xml:space="preserve">No print</t>
  </si>
  <si>
    <t xml:space="preserve">Browser print with a 58mm print stylesheet covers it.</t>
  </si>
  <si>
    <t xml:space="preserve">QR PH static QR + screenshot</t>
  </si>
  <si>
    <t xml:space="preserve">QR PH image file missing from repo</t>
  </si>
  <si>
    <t xml:space="preserve">Add the client's QR image.</t>
  </si>
  <si>
    <t xml:space="preserve">Charts / PDF / Excel</t>
  </si>
  <si>
    <t xml:space="preserve">Chart.js, jsPDF, SheetJS</t>
  </si>
  <si>
    <t xml:space="preserve">Same</t>
  </si>
  <si>
    <t xml:space="preserve">Database wording</t>
  </si>
  <si>
    <t xml:space="preserve">'Real-time database' (p.35-36)</t>
  </si>
  <si>
    <t xml:space="preserve">Cloud Firestore (one-time reads, not live listeners)</t>
  </si>
  <si>
    <t xml:space="preserve">Name the product correctly; see REQNF005 on live updates.</t>
  </si>
  <si>
    <t xml:space="preserve">Icons / fonts</t>
  </si>
  <si>
    <t xml:space="preserve">Bootstrap Icons, Google Fonts (Roboto)</t>
  </si>
  <si>
    <t xml:space="preserve">Version control / CI</t>
  </si>
  <si>
    <t xml:space="preserve">Netlify continuous integration with the repo</t>
  </si>
  <si>
    <t xml:space="preserve">GitHub repo (phobiaax/Amson, branch webapp); no CI/deploy</t>
  </si>
  <si>
    <t xml:space="preserve">Add Git/GitHub; CI depends on hosting decision.</t>
  </si>
  <si>
    <t xml:space="preserve">Local serving</t>
  </si>
  <si>
    <t xml:space="preserve">Node.js http-server via start-server.bat</t>
  </si>
  <si>
    <t xml:space="preserve">Mention for the demo setup.</t>
  </si>
  <si>
    <t xml:space="preserve">Mockup tool</t>
  </si>
  <si>
    <t xml:space="preserve">Canva (p.38) vs 'Creation of Figma' (Gantt p.97)</t>
  </si>
  <si>
    <t xml:space="preserve">Use one name.</t>
  </si>
  <si>
    <t xml:space="preserve">Dashboard analytics</t>
  </si>
  <si>
    <t xml:space="preserve">Chart.js for sales and inventory movement</t>
  </si>
  <si>
    <t xml:space="preserve">Sales charts only; inventory as count tiles</t>
  </si>
  <si>
    <t xml:space="preserve">Reword or add an inventory chart.</t>
  </si>
  <si>
    <t xml:space="preserve">CAPTCHA</t>
  </si>
  <si>
    <t xml:space="preserve">Google reCAPTCHA</t>
  </si>
  <si>
    <t xml:space="preserve">Auth / database</t>
  </si>
  <si>
    <t xml:space="preserve">Firebase Auth + Firestore</t>
  </si>
  <si>
    <t xml:space="preserve">Where in the manuscript</t>
  </si>
  <si>
    <t xml:space="preserve">Change</t>
  </si>
  <si>
    <t xml:space="preserve">Paper location</t>
  </si>
  <si>
    <t xml:space="preserve">What gets removed / narrowed</t>
  </si>
  <si>
    <t xml:space="preserve">How to avoid the letter</t>
  </si>
  <si>
    <t xml:space="preserve">Promotions on the home page</t>
  </si>
  <si>
    <t xml:space="preserve">'promotions' dropped</t>
  </si>
  <si>
    <t xml:space="preserve">Build a simple promotions/announcements banner (same component as the store-closure banner)</t>
  </si>
  <si>
    <t xml:space="preserve">Building - no letter (S)</t>
  </si>
  <si>
    <t xml:space="preserve">'Payment Rejected' order status</t>
  </si>
  <si>
    <t xml:space="preserve">Status list replaced; 'Payment Rejected' no longer exists</t>
  </si>
  <si>
    <t xml:space="preserve">Show invalid-payment holds to the customer as 'Payment Rejected - re-upload needed'</t>
  </si>
  <si>
    <t xml:space="preserve">Per-account agreed wholesale pricing</t>
  </si>
  <si>
    <t xml:space="preserve">Agreed price per buyer replaced by one wholesale price per product</t>
  </si>
  <si>
    <t xml:space="preserve">Add an optional agreed price per buyer per product, used as the default on their orders</t>
  </si>
  <si>
    <t xml:space="preserve">Building - no letter (M)</t>
  </si>
  <si>
    <t xml:space="preserve">'On Hold - Overpayment'</t>
  </si>
  <si>
    <t xml:space="preserve">REQ095, REQ098 p.58-59; Fig 2.6, 2.11</t>
  </si>
  <si>
    <t xml:space="preserve">Overpayment hold type removed (system approves and credits instead)</t>
  </si>
  <si>
    <t xml:space="preserve">Ask the adviser whether this is a refinement (excess still kept as unapplied value, as REQ098 requires). Otherwise change the system to hold overpaid orders until staff apply the excess</t>
  </si>
  <si>
    <t xml:space="preserve">In letter (as a refinement the client approved)</t>
  </si>
  <si>
    <t xml:space="preserve">Real-time updates everywhere</t>
  </si>
  <si>
    <t xml:space="preserve">REQNF005 p.63</t>
  </si>
  <si>
    <t xml:space="preserve">Limited to the verification queue and customer order page</t>
  </si>
  <si>
    <t xml:space="preserve">Use live updates on all order and inventory screens</t>
  </si>
  <si>
    <t xml:space="preserve">Wholesale prices admin-only</t>
  </si>
  <si>
    <t xml:space="preserve">REQ088 p.57</t>
  </si>
  <si>
    <t xml:space="preserve">Moved to Limitations (prices are hidden on screen but readable in the database)</t>
  </si>
  <si>
    <t xml:space="preserve">Move costing/wholesale prices to a staff-only collection</t>
  </si>
  <si>
    <t xml:space="preserve">Push notifications</t>
  </si>
  <si>
    <t xml:space="preserve">'Instantaneous push notifications' reworded to in-app alerts</t>
  </si>
  <si>
    <t xml:space="preserve">Add browser notifications for staff alerts</t>
  </si>
  <si>
    <t xml:space="preserve">Chart.js inventory analytics</t>
  </si>
  <si>
    <t xml:space="preserve">Inventory movement chart removed from the dashboard at the team's request (2026-10-21)</t>
  </si>
  <si>
    <t xml:space="preserve">Reword the Chart.js line to sales analytics (stock movement stays in the Inventory page and reports), or put the chart back</t>
  </si>
  <si>
    <t xml:space="preserve">In letter, unless the adviser accepts the reword</t>
  </si>
  <si>
    <t xml:space="preserve">Price locking</t>
  </si>
  <si>
    <t xml:space="preserve">'Allows price locking' reworded</t>
  </si>
  <si>
    <t xml:space="preserve">Add a lock/unlock toggle per product for the Branch Manager</t>
  </si>
  <si>
    <t xml:space="preserve">OpenAI API</t>
  </si>
  <si>
    <t xml:space="preserve">9 places: pp.3, 4, 24, 26, 34, 35, 37-38, 63</t>
  </si>
  <si>
    <t xml:space="preserve">Replaced by a free provider (Gemini via Firebase AI Logic, if approved)</t>
  </si>
  <si>
    <t xml:space="preserve">Keep OpenAI (paid, prepaid credit)</t>
  </si>
  <si>
    <t xml:space="preserve">In letter (same letter as the other tool swaps)</t>
  </si>
  <si>
    <t xml:space="preserve">DataTable library</t>
  </si>
  <si>
    <t xml:space="preserve">Technical Background p.35, 37</t>
  </si>
  <si>
    <t xml:space="preserve">Removed (custom tables used)</t>
  </si>
  <si>
    <t xml:space="preserve">Use the DataTables library on the main tables</t>
  </si>
  <si>
    <t xml:space="preserve">In letter</t>
  </si>
  <si>
    <t xml:space="preserve">Firebase Storage for images</t>
  </si>
  <si>
    <t xml:space="preserve">Technical Background p.35-36</t>
  </si>
  <si>
    <t xml:space="preserve">Replaced by Cloudinary</t>
  </si>
  <si>
    <t xml:space="preserve">Move uploads to Firebase Storage (needs the paid Blaze plan)</t>
  </si>
  <si>
    <t xml:space="preserve">EmailJS for password reset</t>
  </si>
  <si>
    <t xml:space="preserve">Technical Background p.36</t>
  </si>
  <si>
    <t xml:space="preserve">Replaced by Firebase Auth's own reset email</t>
  </si>
  <si>
    <t xml:space="preserve">Send reset links through EmailJS</t>
  </si>
  <si>
    <t xml:space="preserve">Who the system serves</t>
  </si>
  <si>
    <t xml:space="preserve">Scope p.6; Conceptual Framework p.25</t>
  </si>
  <si>
    <t xml:space="preserve">'Wholesale clients' and 'main office' as users; wholesale buyers registering/ordering online</t>
  </si>
  <si>
    <t xml:space="preserve">None - the original text is inaccurate (wholesale is staff-recorded per the client)</t>
  </si>
  <si>
    <t xml:space="preserve">In letter (correction)</t>
  </si>
  <si>
    <t xml:space="preserve">Client report</t>
  </si>
  <si>
    <t xml:space="preserve">Section / columns</t>
  </si>
  <si>
    <t xml:space="preserve">System data today</t>
  </si>
  <si>
    <t xml:space="preserve">Gap</t>
  </si>
  <si>
    <t xml:space="preserve">To-Do</t>
  </si>
  <si>
    <t xml:space="preserve">Daily Sales (PDF)</t>
  </si>
  <si>
    <t xml:space="preserve">Header: store name, date range 12:00:01 AM - 11:59:59 PM</t>
  </si>
  <si>
    <t xml:space="preserve">Reports module</t>
  </si>
  <si>
    <t xml:space="preserve">Sales: Date, No. of Orders, Total, Discount/Deduction, Grand Total, Less VAT, VATable Sales, VAT 12%, VAT Exempt Sales</t>
  </si>
  <si>
    <t xml:space="preserve">posSales, orders, wholesaleOrders totals</t>
  </si>
  <si>
    <t xml:space="preserve">No discounts; no VAT fields (sample day: all VAT-exempt)</t>
  </si>
  <si>
    <t xml:space="preserve">Discount decision; VAT question to client</t>
  </si>
  <si>
    <t xml:space="preserve">Pay-In, Pay-Out, TOTAL</t>
  </si>
  <si>
    <t xml:space="preserve">Not recorded</t>
  </si>
  <si>
    <t xml:space="preserve">Pay-in/pay-out decision</t>
  </si>
  <si>
    <t xml:space="preserve">Retail Sales: Date, No. of Items, Total Amount</t>
  </si>
  <si>
    <t xml:space="preserve">posSales + online orders</t>
  </si>
  <si>
    <t xml:space="preserve">OK once combined</t>
  </si>
  <si>
    <t xml:space="preserve">Wholesale Sales: Date, No. of Items, Total Amount</t>
  </si>
  <si>
    <t xml:space="preserve">wholesaleOrders</t>
  </si>
  <si>
    <t xml:space="preserve">OK</t>
  </si>
  <si>
    <t xml:space="preserve">Payment Method: Bank Transfer, Cash, Credit, G-Cash, Terminal - orders + amount</t>
  </si>
  <si>
    <t xml:space="preserve">posSales.paymentMethod (cash/card/e-wallet only)</t>
  </si>
  <si>
    <t xml:space="preserve">No Bank Transfer/Credit; wholesale has no payment method</t>
  </si>
  <si>
    <t xml:space="preserve">Payment method + terms item</t>
  </si>
  <si>
    <t xml:space="preserve">Item Sold: Item, No. of Items, Total Amount, Discount (sorted by qty)</t>
  </si>
  <si>
    <t xml:space="preserve">sale line items</t>
  </si>
  <si>
    <t xml:space="preserve">OK (no discount)</t>
  </si>
  <si>
    <t xml:space="preserve">Customer File (Excel, daily)</t>
  </si>
  <si>
    <t xml:space="preserve">Customer Name, Date+time, SI#, Batch No, Exp, Qty, Item, Sales Price, Total Amount, Terms of Payment; subtotal per customer</t>
  </si>
  <si>
    <t xml:space="preserve">No batch/expiry per line, no SI#, no walk-in customer name, no terms</t>
  </si>
  <si>
    <t xml:space="preserve">Batch per sale; SI#; walk-in name; payment terms</t>
  </si>
  <si>
    <t xml:space="preserve">Monthly Inventory (Excel)</t>
  </si>
  <si>
    <t xml:space="preserve">One sheet per category (Generics, Medical Supplies, Drugstore per pc, Branded; no grocery since 2026-10-22): Product, POS stock, Physical count, Costing, Retail, Wholesale, Batch #, Expiry</t>
  </si>
  <si>
    <t xml:space="preserve">stockBatches + reconciliation counts + product prices</t>
  </si>
  <si>
    <t xml:space="preserve">Categories differ; needs reconciliation export by category</t>
  </si>
  <si>
    <t xml:space="preserve">Categories item; Reports module</t>
  </si>
  <si>
    <t xml:space="preserve">Monthly Return to POS (Excel)</t>
  </si>
  <si>
    <t xml:space="preserve">Item, Batch, Expiry, Customer, DR#, Date Purchased, Date Returned, Qty, Amount, Total</t>
  </si>
  <si>
    <t xml:space="preserve">Wholesale exchange/return not built; no DR#/SI# on the original sale</t>
  </si>
  <si>
    <t xml:space="preserve">Wholesale exchange; SI#</t>
  </si>
  <si>
    <t xml:space="preserve">Monthly Supplier Purchases (Excel)</t>
  </si>
  <si>
    <t xml:space="preserve">Supplier Name, Order Date, Receipt #, Product, Brand, Packs, Batch #, Expiry, Qty, Price, Amount, Total; one Drugstore sheet (no grocery items since 2026-10-22)</t>
  </si>
  <si>
    <t xml:space="preserve">stockBatches (supplier, batch, expiry, qty, date)</t>
  </si>
  <si>
    <t xml:space="preserve">No receipt #, unit cost, pack on receiving</t>
  </si>
  <si>
    <t xml:space="preserve">Receiving fields item</t>
  </si>
  <si>
    <t xml:space="preserve">Observations</t>
  </si>
  <si>
    <t xml:space="preserve">Their old POS shows negative stock (-1); several expiries are typed into product names (e.g. '4/28'); one batch cell can list several expiries</t>
  </si>
  <si>
    <t xml:space="preserve">Our system blocks negative stock and keeps one expiry per batch - good defense talking points; data needs cleaning before import</t>
  </si>
  <si>
    <t xml:space="preserve">Catalog import item</t>
  </si>
  <si>
    <t xml:space="preserve">Interview</t>
  </si>
  <si>
    <t xml:space="preserve">What the client asked</t>
  </si>
  <si>
    <t xml:space="preserve">Where it's covered</t>
  </si>
  <si>
    <t xml:space="preserve">1</t>
  </si>
  <si>
    <t xml:space="preserve">Price lock: one person changes prices, can lower then restore, changes monitored</t>
  </si>
  <si>
    <t xml:space="preserve">To-Do: price lock item; REQ071-073</t>
  </si>
  <si>
    <t xml:space="preserve">Covered</t>
  </si>
  <si>
    <t xml:space="preserve">1, 4</t>
  </si>
  <si>
    <t xml:space="preserve">Void / cancel with lock, reason, receipt number, stock restore, exchange</t>
  </si>
  <si>
    <t xml:space="preserve">To-Do: walk-in void; receipt numbers</t>
  </si>
  <si>
    <t xml:space="preserve">Covered (rules added from Interview 4)</t>
  </si>
  <si>
    <t xml:space="preserve">Reports with batch + expiry, summarized, copy-paste into office Excel</t>
  </si>
  <si>
    <t xml:space="preserve">To-Do: Reports module</t>
  </si>
  <si>
    <t xml:space="preserve">'Keep' a punched walk-in order until the customer confirms</t>
  </si>
  <si>
    <t xml:space="preserve">To-Do: park/hold sale</t>
  </si>
  <si>
    <t xml:space="preserve">Added now (Decision)</t>
  </si>
  <si>
    <t xml:space="preserve">Small thermal receipt printer</t>
  </si>
  <si>
    <t xml:space="preserve">To-Do: receipt printing</t>
  </si>
  <si>
    <t xml:space="preserve">Usable on the manager's phone</t>
  </si>
  <si>
    <t xml:space="preserve">REQNF003 test pass</t>
  </si>
  <si>
    <t xml:space="preserve">Not connected to BIR or government; confidential</t>
  </si>
  <si>
    <t xml:space="preserve">To-Do: 'not an official receipt' relabel; Limitations edit</t>
  </si>
  <si>
    <t xml:space="preserve">Added now</t>
  </si>
  <si>
    <t xml:space="preserve">Announce closure days to buyers</t>
  </si>
  <si>
    <t xml:space="preserve">To-Do: announcement banner (REQ008)</t>
  </si>
  <si>
    <t xml:space="preserve">Free goods: near-expiry RX only to doctors, vitamins to all</t>
  </si>
  <si>
    <t xml:space="preserve">To-Do: wholesale free-of-cost (note)</t>
  </si>
  <si>
    <t xml:space="preserve">Added now (note)</t>
  </si>
  <si>
    <t xml:space="preserve">Multi-branch / Manila branch use</t>
  </si>
  <si>
    <t xml:space="preserve">Limitations p.7 (single branch)</t>
  </si>
  <si>
    <t xml:space="preserve">Out of scope</t>
  </si>
  <si>
    <t xml:space="preserve">2</t>
  </si>
  <si>
    <t xml:space="preserve">Sales Staff = POS only</t>
  </si>
  <si>
    <t xml:space="preserve">REQ121 decision</t>
  </si>
  <si>
    <t xml:space="preserve">Wholesale not online; retail price only online</t>
  </si>
  <si>
    <t xml:space="preserve">REQ088 (wholesale price visibility)</t>
  </si>
  <si>
    <t xml:space="preserve">Wholesale documents: LTO + business permit, latest copies</t>
  </si>
  <si>
    <t xml:space="preserve">REQ086 expiry tracking</t>
  </si>
  <si>
    <t xml:space="preserve">POS receipt printed; BIR receipt with VAT only on request</t>
  </si>
  <si>
    <t xml:space="preserve">'Not an official receipt' item; Limitations edit</t>
  </si>
  <si>
    <t xml:space="preserve">Send the sales invoice format</t>
  </si>
  <si>
    <t xml:space="preserve">Client item</t>
  </si>
  <si>
    <t xml:space="preserve">Price change needs reason and date (option or free note, e.g. 'approved by boss')</t>
  </si>
  <si>
    <t xml:space="preserve">Price lock item</t>
  </si>
  <si>
    <t xml:space="preserve">Customer file per wholesale buyer; reorder past purchases</t>
  </si>
  <si>
    <t xml:space="preserve">Wholesale history item (reorder added)</t>
  </si>
  <si>
    <t xml:space="preserve">Added now (reorder)</t>
  </si>
  <si>
    <t xml:space="preserve">Daily sales (per customer, items, batch, expiry); monthly purchases (batch, expiry, purchase date, receipt no., supplier); monthly inventory; pull-out; returns</t>
  </si>
  <si>
    <t xml:space="preserve">Reports module; supplier DR number field</t>
  </si>
  <si>
    <t xml:space="preserve">Added now (DR number)</t>
  </si>
  <si>
    <t xml:space="preserve">Wholesale returns as item exchange, no money back</t>
  </si>
  <si>
    <t xml:space="preserve">Wholesale exchange item</t>
  </si>
  <si>
    <t xml:space="preserve">Free-of-cost for wholesale only</t>
  </si>
  <si>
    <t xml:space="preserve">Wholesale free-of-cost item</t>
  </si>
  <si>
    <t xml:space="preserve">2, 3</t>
  </si>
  <si>
    <t xml:space="preserve">Lalamove only; payment first, no COD; customer pays rider</t>
  </si>
  <si>
    <t xml:space="preserve">REQ020; Terms rewrite</t>
  </si>
  <si>
    <t xml:space="preserve">Rider details recorded</t>
  </si>
  <si>
    <t xml:space="preserve">Delivery notes item (note)</t>
  </si>
  <si>
    <t xml:space="preserve">Daily cash remitted to main office</t>
  </si>
  <si>
    <t xml:space="preserve">Reports module (totals by payment method)</t>
  </si>
  <si>
    <t xml:space="preserve">3</t>
  </si>
  <si>
    <t xml:space="preserve">Live chat on the website</t>
  </si>
  <si>
    <t xml:space="preserve">Live chat decision</t>
  </si>
  <si>
    <t xml:space="preserve">3, 4</t>
  </si>
  <si>
    <t xml:space="preserve">No third-party payment; QR Ph direct, verified on the spot</t>
  </si>
  <si>
    <t xml:space="preserve">REQ028 QR image</t>
  </si>
  <si>
    <t xml:space="preserve">Wrong item delivered: exchange, no refund; no cancellation after payment; failed-delivery fees on customer</t>
  </si>
  <si>
    <t xml:space="preserve">Terms rewrite</t>
  </si>
  <si>
    <t xml:space="preserve">4</t>
  </si>
  <si>
    <t xml:space="preserve">Report export must look like the client's sample</t>
  </si>
  <si>
    <t xml:space="preserve">Client item; Reports module</t>
  </si>
  <si>
    <t xml:space="preserve">Export the dashboard</t>
  </si>
  <si>
    <t xml:space="preserve">Reports module (Dashboard Export button)</t>
  </si>
  <si>
    <t xml:space="preserve">See history of what came from each supplier</t>
  </si>
  <si>
    <t xml:space="preserve">Supplier history item</t>
  </si>
  <si>
    <t xml:space="preserve">See wholesale permit expiry</t>
  </si>
  <si>
    <t xml:space="preserve">Audit log shows who added stock/products</t>
  </si>
  <si>
    <t xml:space="preserve">REQ122 completeness</t>
  </si>
  <si>
    <t xml:space="preserve">Void restricted: a second person must see it</t>
  </si>
  <si>
    <t xml:space="preserve">Walk-in void item (note)</t>
  </si>
  <si>
    <t xml:space="preserve">Hands-on before go-live</t>
  </si>
  <si>
    <t xml:space="preserve">User manual + training item</t>
  </si>
  <si>
    <t xml:space="preserve">Section</t>
  </si>
  <si>
    <t xml:space="preserve">Page</t>
  </si>
  <si>
    <t xml:space="preserve">Title page / cover</t>
  </si>
  <si>
    <t xml:space="preserve">i</t>
  </si>
  <si>
    <t xml:space="preserve">Title</t>
  </si>
  <si>
    <t xml:space="preserve">'Integrated Real-Time Expiry Monitoring': near-expiry stock is only flagged when the Inventory page opens (REQ066). Fix the system so the title holds (To-Do: REQ066 item).</t>
  </si>
  <si>
    <t xml:space="preserve">Whole paper</t>
  </si>
  <si>
    <t xml:space="preserve">Whole paper + system</t>
  </si>
  <si>
    <t xml:space="preserve">Both</t>
  </si>
  <si>
    <t xml:space="preserve">Project Context</t>
  </si>
  <si>
    <t xml:space="preserve">p.1</t>
  </si>
  <si>
    <t xml:space="preserve">Project Context / Purpose</t>
  </si>
  <si>
    <t xml:space="preserve">p.2-4</t>
  </si>
  <si>
    <t xml:space="preserve">AI chat 'addresses inquiries at any hour': depends on the live chat decision.</t>
  </si>
  <si>
    <t xml:space="preserve">Purpose and Description</t>
  </si>
  <si>
    <t xml:space="preserve">p.3</t>
  </si>
  <si>
    <t xml:space="preserve">'Each completed transaction ... made available for printing and reporting': needs receipt printing and the Reports module.</t>
  </si>
  <si>
    <t xml:space="preserve">Objectives</t>
  </si>
  <si>
    <t xml:space="preserve">p.5</t>
  </si>
  <si>
    <t xml:space="preserve">Obj. 1 promises AI chat support (live chat decision). Obj. 2 promises auto-removal of near-expiry stock (REQ066 fix). Obj. 3 promises exportable daily/monthly reports with batch + expiry (Reports module).</t>
  </si>
  <si>
    <t xml:space="preserve">Objectives / evaluation</t>
  </si>
  <si>
    <t xml:space="preserve">p.5-6, 21-24</t>
  </si>
  <si>
    <t xml:space="preserve">Scope</t>
  </si>
  <si>
    <t xml:space="preserve">p.6</t>
  </si>
  <si>
    <t xml:space="preserve">p.7</t>
  </si>
  <si>
    <t xml:space="preserve">'Automated daily sales and inventory reports are generated': depends on the Reports module.</t>
  </si>
  <si>
    <t xml:space="preserve">AI live chat bullet: live chat decision.</t>
  </si>
  <si>
    <t xml:space="preserve">Limitations</t>
  </si>
  <si>
    <t xml:space="preserve">Comparative Analysis</t>
  </si>
  <si>
    <t xml:space="preserve">p.18</t>
  </si>
  <si>
    <t xml:space="preserve">Theoretical Framework</t>
  </si>
  <si>
    <t xml:space="preserve">p.22-23</t>
  </si>
  <si>
    <t xml:space="preserve">p.24</t>
  </si>
  <si>
    <t xml:space="preserve">Conceptual Framework (Input)</t>
  </si>
  <si>
    <t xml:space="preserve">p.25</t>
  </si>
  <si>
    <t xml:space="preserve">Conceptual Framework (Output)</t>
  </si>
  <si>
    <t xml:space="preserve">p.27</t>
  </si>
  <si>
    <t xml:space="preserve">Methodology: sprint plan</t>
  </si>
  <si>
    <t xml:space="preserve">p.32</t>
  </si>
  <si>
    <t xml:space="preserve">p.30-35</t>
  </si>
  <si>
    <t xml:space="preserve">Methodology: Deployment</t>
  </si>
  <si>
    <t xml:space="preserve">p.30</t>
  </si>
  <si>
    <t xml:space="preserve">'Deployed in a controlled environment using actual client data': not done yet. Decide hosting, then either do it or reword.</t>
  </si>
  <si>
    <t xml:space="preserve">Technical Background</t>
  </si>
  <si>
    <t xml:space="preserve">p.35</t>
  </si>
  <si>
    <t xml:space="preserve">p.35-36</t>
  </si>
  <si>
    <t xml:space="preserve">p.35, 37</t>
  </si>
  <si>
    <t xml:space="preserve">Technical Background: Software</t>
  </si>
  <si>
    <t xml:space="preserve">p.36-38</t>
  </si>
  <si>
    <t xml:space="preserve">p.38</t>
  </si>
  <si>
    <t xml:space="preserve">Modules: Staff roles</t>
  </si>
  <si>
    <t xml:space="preserve">p.45-46</t>
  </si>
  <si>
    <t xml:space="preserve">Modules: Price Management</t>
  </si>
  <si>
    <t xml:space="preserve">p.42</t>
  </si>
  <si>
    <t xml:space="preserve">System roles</t>
  </si>
  <si>
    <t xml:space="preserve">Wireframes (Figs 2.16-2.21)</t>
  </si>
  <si>
    <t xml:space="preserve">p.92-95</t>
  </si>
  <si>
    <t xml:space="preserve">Calendar of Activities</t>
  </si>
  <si>
    <t xml:space="preserve">p.96-98</t>
  </si>
  <si>
    <t xml:space="preserve">p.97-98</t>
  </si>
  <si>
    <t xml:space="preserve">Budgetary Estimate</t>
  </si>
  <si>
    <t xml:space="preserve">p.99</t>
  </si>
  <si>
    <t xml:space="preserve">References</t>
  </si>
  <si>
    <t xml:space="preserve">p.100</t>
  </si>
  <si>
    <t xml:space="preserve">p.10 / refs</t>
  </si>
  <si>
    <t xml:space="preserve">p.17 / refs</t>
  </si>
  <si>
    <t xml:space="preserve">Appendices</t>
  </si>
  <si>
    <t xml:space="preserve">p.124</t>
  </si>
  <si>
    <t xml:space="preserve">Table of Contents / List of Figures</t>
  </si>
  <si>
    <t xml:space="preserve">p.iv-vi</t>
  </si>
  <si>
    <t xml:space="preserve">Client items</t>
  </si>
  <si>
    <t xml:space="preserve">Image</t>
  </si>
  <si>
    <t xml:space="preserve">Review</t>
  </si>
  <si>
    <t xml:space="preserve">Overall Use Case Diagram</t>
  </si>
  <si>
    <t xml:space="preserve">Received</t>
  </si>
  <si>
    <t xml:space="preserve">Reviewed</t>
  </si>
  <si>
    <t xml:space="preserve">Use Case: Platform Access and Account Management</t>
  </si>
  <si>
    <t xml:space="preserve">Use Case: Customer Ordering and Purchase</t>
  </si>
  <si>
    <t xml:space="preserve">Use Case: Inventory Management</t>
  </si>
  <si>
    <t xml:space="preserve">Use Case: Order Processing and Sales Operations</t>
  </si>
  <si>
    <t xml:space="preserve">Use Case: Administrative Controls</t>
  </si>
  <si>
    <t xml:space="preserve">Activity: Login Process</t>
  </si>
  <si>
    <t xml:space="preserve">Activity: Account Registration</t>
  </si>
  <si>
    <t xml:space="preserve">Activity: Customer Purchasing</t>
  </si>
  <si>
    <t xml:space="preserve">Activity: Payment Verification and Order Processing</t>
  </si>
  <si>
    <t xml:space="preserve">Activity: Inventory Management</t>
  </si>
  <si>
    <t xml:space="preserve">Activity: Wholesale Order Processing</t>
  </si>
  <si>
    <t xml:space="preserve">Activity: Walk-in Order Processing (POS)</t>
  </si>
  <si>
    <t xml:space="preserve">Activity: Wholesale Exchange Processing</t>
  </si>
  <si>
    <t xml:space="preserve">2.16-2.21</t>
  </si>
  <si>
    <t xml:space="preserve">Wireframes</t>
  </si>
  <si>
    <t xml:space="preserve">Not requested</t>
  </si>
  <si>
    <t xml:space="preserve">Optional - send if you want UI compared to wireframes</t>
  </si>
</sst>
</file>

<file path=xl/styles.xml><?xml version="1.0" encoding="utf-8"?>
<styleSheet xmlns="http://schemas.openxmlformats.org/spreadsheetml/2006/main">
  <numFmts count="1">
    <numFmt numFmtId="164" formatCode="General"/>
  </numFmts>
  <fonts count="7">
    <font>
      <sz val="11"/>
      <color theme="1"/>
      <name val="Calibri"/>
      <family val="2"/>
      <charset val="1"/>
    </font>
    <font>
      <sz val="10"/>
      <name val="Arial"/>
      <family val="0"/>
    </font>
    <font>
      <sz val="10"/>
      <name val="Arial"/>
      <family val="0"/>
    </font>
    <font>
      <sz val="10"/>
      <name val="Arial"/>
      <family val="0"/>
    </font>
    <font>
      <b val="true"/>
      <sz val="14"/>
      <name val="Cambria"/>
      <family val="0"/>
      <charset val="1"/>
    </font>
    <font>
      <b val="true"/>
      <sz val="11"/>
      <color rgb="FFFFFFFF"/>
      <name val="Cambria"/>
      <family val="0"/>
      <charset val="1"/>
    </font>
    <font>
      <b val="true"/>
      <sz val="11"/>
      <name val="Cambria"/>
      <family val="0"/>
      <charset val="1"/>
    </font>
  </fonts>
  <fills count="9">
    <fill>
      <patternFill patternType="none"/>
    </fill>
    <fill>
      <patternFill patternType="gray125"/>
    </fill>
    <fill>
      <patternFill patternType="solid">
        <fgColor rgb="FF12121B"/>
        <bgColor rgb="FF000000"/>
      </patternFill>
    </fill>
    <fill>
      <patternFill patternType="solid">
        <fgColor rgb="FFD9F2E3"/>
        <bgColor rgb="FFE6E9EF"/>
      </patternFill>
    </fill>
    <fill>
      <patternFill patternType="solid">
        <fgColor rgb="FFFDF1D6"/>
        <bgColor rgb="FFEEEEEE"/>
      </patternFill>
    </fill>
    <fill>
      <patternFill patternType="solid">
        <fgColor rgb="FFFCE1C6"/>
        <bgColor rgb="FFF9D2D4"/>
      </patternFill>
    </fill>
    <fill>
      <patternFill patternType="solid">
        <fgColor rgb="FFF9D2D4"/>
        <bgColor rgb="FFFCE1C6"/>
      </patternFill>
    </fill>
    <fill>
      <patternFill patternType="solid">
        <fgColor rgb="FFE6E9EF"/>
        <bgColor rgb="FFE5E5EA"/>
      </patternFill>
    </fill>
    <fill>
      <patternFill patternType="solid">
        <fgColor rgb="FFEEEEEE"/>
        <bgColor rgb="FFE6E9EF"/>
      </patternFill>
    </fill>
  </fills>
  <borders count="2">
    <border diagonalUp="false" diagonalDown="false">
      <left/>
      <right/>
      <top/>
      <bottom/>
      <diagonal/>
    </border>
    <border diagonalUp="false" diagonalDown="false">
      <left style="thin">
        <color rgb="FFE5E5EA"/>
      </left>
      <right style="thin">
        <color rgb="FFE5E5EA"/>
      </right>
      <top style="thin">
        <color rgb="FFE5E5EA"/>
      </top>
      <bottom style="thin">
        <color rgb="FFE5E5EA"/>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1">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2" borderId="0" xfId="0" applyFont="true" applyBorder="false" applyAlignment="true" applyProtection="false">
      <alignment horizontal="general" vertical="bottom" textRotation="0" wrapText="false" indent="0" shrinkToFit="false"/>
      <protection locked="true" hidden="false"/>
    </xf>
    <xf numFmtId="164" fontId="0" fillId="3" borderId="0" xfId="0" applyFont="true" applyBorder="false" applyAlignment="true" applyProtection="false">
      <alignment horizontal="general" vertical="bottom" textRotation="0" wrapText="false" indent="0" shrinkToFit="false"/>
      <protection locked="true" hidden="false"/>
    </xf>
    <xf numFmtId="164" fontId="0" fillId="4" borderId="0" xfId="0" applyFont="true" applyBorder="false" applyAlignment="true" applyProtection="false">
      <alignment horizontal="general" vertical="bottom" textRotation="0" wrapText="false" indent="0" shrinkToFit="false"/>
      <protection locked="true" hidden="false"/>
    </xf>
    <xf numFmtId="164" fontId="0" fillId="5" borderId="0" xfId="0" applyFont="true" applyBorder="false" applyAlignment="true" applyProtection="false">
      <alignment horizontal="general" vertical="bottom" textRotation="0" wrapText="false" indent="0" shrinkToFit="false"/>
      <protection locked="true" hidden="false"/>
    </xf>
    <xf numFmtId="164" fontId="0" fillId="6" borderId="0" xfId="0" applyFont="true" applyBorder="false" applyAlignment="true" applyProtection="false">
      <alignment horizontal="general" vertical="bottom" textRotation="0" wrapText="false" indent="0" shrinkToFit="false"/>
      <protection locked="true" hidden="false"/>
    </xf>
    <xf numFmtId="164" fontId="0" fillId="7" borderId="0" xfId="0" applyFont="true" applyBorder="false" applyAlignment="true" applyProtection="false">
      <alignment horizontal="general" vertical="bottom" textRotation="0" wrapText="false" indent="0" shrinkToFit="false"/>
      <protection locked="true" hidden="false"/>
    </xf>
    <xf numFmtId="164" fontId="0" fillId="8" borderId="0" xfId="0" applyFont="true" applyBorder="fals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4" fontId="5" fillId="2" borderId="1" xfId="0" applyFont="true" applyBorder="true" applyAlignment="true" applyProtection="false">
      <alignment horizontal="general" vertical="center" textRotation="0" wrapText="true" indent="0" shrinkToFit="false"/>
      <protection locked="true" hidden="false"/>
    </xf>
    <xf numFmtId="164" fontId="0" fillId="0" borderId="1" xfId="0" applyFont="false" applyBorder="true" applyAlignment="true" applyProtection="false">
      <alignment horizontal="general" vertical="top" textRotation="0" wrapText="true" indent="0" shrinkToFit="false"/>
      <protection locked="true" hidden="false"/>
    </xf>
    <xf numFmtId="164" fontId="0" fillId="0" borderId="1" xfId="0" applyFont="true" applyBorder="true" applyAlignment="true" applyProtection="false">
      <alignment horizontal="general" vertical="top" textRotation="0" wrapText="true" indent="0" shrinkToFit="false"/>
      <protection locked="true" hidden="false"/>
    </xf>
    <xf numFmtId="164" fontId="6" fillId="6" borderId="1" xfId="0" applyFont="true" applyBorder="true" applyAlignment="true" applyProtection="false">
      <alignment horizontal="general" vertical="top" textRotation="0" wrapText="true" indent="0" shrinkToFit="false"/>
      <protection locked="true" hidden="false"/>
    </xf>
    <xf numFmtId="164" fontId="0" fillId="3" borderId="1" xfId="0" applyFont="true" applyBorder="true" applyAlignment="true" applyProtection="false">
      <alignment horizontal="general" vertical="top" textRotation="0" wrapText="true" indent="0" shrinkToFit="false"/>
      <protection locked="true" hidden="false"/>
    </xf>
    <xf numFmtId="164" fontId="0" fillId="4" borderId="1" xfId="0" applyFont="true" applyBorder="true" applyAlignment="true" applyProtection="false">
      <alignment horizontal="general" vertical="top" textRotation="0" wrapText="true" indent="0" shrinkToFit="false"/>
      <protection locked="true" hidden="false"/>
    </xf>
    <xf numFmtId="164" fontId="0" fillId="5" borderId="1" xfId="0" applyFont="true" applyBorder="true" applyAlignment="true" applyProtection="false">
      <alignment horizontal="general" vertical="top" textRotation="0" wrapText="true" indent="0" shrinkToFit="false"/>
      <protection locked="true" hidden="false"/>
    </xf>
    <xf numFmtId="164" fontId="0" fillId="7" borderId="1" xfId="0" applyFont="true" applyBorder="true" applyAlignment="true" applyProtection="false">
      <alignment horizontal="general" vertical="top" textRotation="0" wrapText="true" indent="0" shrinkToFit="false"/>
      <protection locked="true" hidden="false"/>
    </xf>
    <xf numFmtId="164" fontId="0" fillId="8" borderId="1" xfId="0" applyFont="true" applyBorder="true" applyAlignment="true" applyProtection="false">
      <alignment horizontal="general" vertical="top" textRotation="0" wrapText="true" indent="0" shrinkToFit="false"/>
      <protection locked="true" hidden="false"/>
    </xf>
    <xf numFmtId="164" fontId="0" fillId="6" borderId="1"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1">
    <dxf>
      <fill>
        <patternFill patternType="solid">
          <fgColor rgb="FF12121B"/>
          <bgColor rgb="FF000000"/>
        </patternFill>
      </fill>
    </dxf>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
      <fill>
        <patternFill patternType="solid">
          <fgColor rgb="FFF9D2D4"/>
          <bgColor rgb="FF000000"/>
        </patternFill>
      </fill>
    </dxf>
    <dxf>
      <fill>
        <patternFill patternType="solid">
          <fgColor rgb="FFD9F2E3"/>
          <bgColor rgb="FF000000"/>
        </patternFill>
      </fill>
    </dxf>
    <dxf>
      <fill>
        <patternFill>
          <bgColor rgb="FFD9F2E3"/>
        </patternFill>
      </fill>
    </dxf>
    <dxf>
      <fill>
        <patternFill patternType="solid">
          <fgColor rgb="FFE6E9EF"/>
          <bgColor rgb="FF000000"/>
        </patternFill>
      </fill>
    </dxf>
    <dxf>
      <fill>
        <patternFill patternType="solid">
          <fgColor rgb="FFEEEEEE"/>
          <bgColor rgb="FF000000"/>
        </patternFill>
      </fill>
    </dxf>
    <dxf>
      <fill>
        <patternFill patternType="solid">
          <fgColor rgb="FFFCE1C6"/>
          <bgColor rgb="FF000000"/>
        </patternFill>
      </fill>
    </dxf>
    <dxf>
      <fill>
        <patternFill patternType="solid">
          <fgColor rgb="FFFDF1D6"/>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DF1D6"/>
      <rgbColor rgb="FFE6E9EF"/>
      <rgbColor rgb="FF660066"/>
      <rgbColor rgb="FFFF8080"/>
      <rgbColor rgb="FF0066CC"/>
      <rgbColor rgb="FFE5E5EA"/>
      <rgbColor rgb="FF000080"/>
      <rgbColor rgb="FFFF00FF"/>
      <rgbColor rgb="FFFFFF00"/>
      <rgbColor rgb="FF00FFFF"/>
      <rgbColor rgb="FF800080"/>
      <rgbColor rgb="FF800000"/>
      <rgbColor rgb="FF008080"/>
      <rgbColor rgb="FF0000FF"/>
      <rgbColor rgb="FF00CCFF"/>
      <rgbColor rgb="FFEEEEEE"/>
      <rgbColor rgb="FFD9F2E3"/>
      <rgbColor rgb="FFFCE1C6"/>
      <rgbColor rgb="FF99CCFF"/>
      <rgbColor rgb="FFFF99CC"/>
      <rgbColor rgb="FFCC99FF"/>
      <rgbColor rgb="FFF9D2D4"/>
      <rgbColor rgb="FF3366FF"/>
      <rgbColor rgb="FF33CCCC"/>
      <rgbColor rgb="FF99CC00"/>
      <rgbColor rgb="FFFFCC00"/>
      <rgbColor rgb="FFFF9900"/>
      <rgbColor rgb="FFFF6600"/>
      <rgbColor rgb="FF666699"/>
      <rgbColor rgb="FF969696"/>
      <rgbColor rgb="FF003366"/>
      <rgbColor rgb="FF339966"/>
      <rgbColor rgb="FF12121B"/>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drawings/drawing6.xml><?xml version="1.0" encoding="utf-8"?>
<xdr:wsDr xmlns:xdr="http://schemas.openxmlformats.org/drawingml/2006/spreadsheetDrawing" xmlns:a="http://schemas.openxmlformats.org/drawingml/2006/main" xmlns:r="http://schemas.openxmlformats.org/officeDocument/2006/relationships"/>
</file>

<file path=xl/drawings/drawing7.xml><?xml version="1.0" encoding="utf-8"?>
<xdr:wsDr xmlns:xdr="http://schemas.openxmlformats.org/drawingml/2006/spreadsheetDrawing" xmlns:a="http://schemas.openxmlformats.org/drawingml/2006/main" xmlns:r="http://schemas.openxmlformats.org/officeDocument/2006/relationships"/>
</file>

<file path=xl/drawings/drawing8.xml><?xml version="1.0" encoding="utf-8"?>
<xdr:wsDr xmlns:xdr="http://schemas.openxmlformats.org/drawingml/2006/spreadsheetDrawing" xmlns:a="http://schemas.openxmlformats.org/drawingml/2006/main" xmlns:r="http://schemas.openxmlformats.org/officeDocument/2006/relationships"/>
</file>

<file path=xl/drawings/drawing9.xml><?xml version="1.0" encoding="utf-8"?>
<xdr:wsDr xmlns:xdr="http://schemas.openxmlformats.org/drawingml/2006/spreadsheetDrawing" xmlns:a="http://schemas.openxmlformats.org/drawingml/2006/main" xmlns:r="http://schemas.openxmlformats.org/officeDocument/2006/relationships"/>
</file>

<file path=xl/drawings/drawing10.xml><?xml version="1.0" encoding="utf-8"?>
<xdr:wsDr xmlns:xdr="http://schemas.openxmlformats.org/drawingml/2006/spreadsheetDrawing" xmlns:a="http://schemas.openxmlformats.org/drawingml/2006/main" xmlns:r="http://schemas.openxmlformats.org/officeDocument/2006/relationships"/>
</file>

<file path=xl/drawings/drawing11.xml><?xml version="1.0" encoding="utf-8"?>
<xdr:wsDr xmlns:xdr="http://schemas.openxmlformats.org/drawingml/2006/spreadsheetDrawing" xmlns:a="http://schemas.openxmlformats.org/drawingml/2006/main" xmlns:r="http://schemas.openxmlformats.org/officeDocument/2006/relationships"/>
</file>

<file path=xl/drawings/drawing1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3.xml.rels><?xml version="1.0" encoding="UTF-8"?>
<Relationships xmlns="http://schemas.openxmlformats.org/package/2006/relationships"><Relationship Id="rId1" Type="http://schemas.openxmlformats.org/officeDocument/2006/relationships/drawing" Target="../drawings/drawing2.xml"/>
</Relationships>
</file>

<file path=xl/worksheets/_rels/sheet4.xml.rels><?xml version="1.0" encoding="UTF-8"?>
<Relationships xmlns="http://schemas.openxmlformats.org/package/2006/relationships"><Relationship Id="rId1" Type="http://schemas.openxmlformats.org/officeDocument/2006/relationships/drawing" Target="../drawings/drawing3.xml"/>
</Relationships>
</file>

<file path=xl/worksheets/_rels/sheet5.xml.rels><?xml version="1.0" encoding="UTF-8"?>
<Relationships xmlns="http://schemas.openxmlformats.org/package/2006/relationships"><Relationship Id="rId1" Type="http://schemas.openxmlformats.org/officeDocument/2006/relationships/drawing" Target="../drawings/drawing4.xml"/>
</Relationships>
</file>

<file path=xl/worksheets/_rels/sheet6.xml.rels><?xml version="1.0" encoding="UTF-8"?>
<Relationships xmlns="http://schemas.openxmlformats.org/package/2006/relationships"><Relationship Id="rId1" Type="http://schemas.openxmlformats.org/officeDocument/2006/relationships/drawing" Target="../drawings/drawing5.xml"/>
</Relationships>
</file>

<file path=xl/worksheets/_rels/sheet7.xml.rels><?xml version="1.0" encoding="UTF-8"?>
<Relationships xmlns="http://schemas.openxmlformats.org/package/2006/relationships"><Relationship Id="rId1" Type="http://schemas.openxmlformats.org/officeDocument/2006/relationships/drawing" Target="../drawings/drawing6.xml"/>
</Relationships>
</file>

<file path=xl/worksheets/_rels/sheet8.xml.rels><?xml version="1.0" encoding="UTF-8"?>
<Relationships xmlns="http://schemas.openxmlformats.org/package/2006/relationships"><Relationship Id="rId1" Type="http://schemas.openxmlformats.org/officeDocument/2006/relationships/drawing" Target="../drawings/drawing7.xml"/>
</Relationships>
</file>

<file path=xl/worksheets/_rels/sheet9.xml.rels><?xml version="1.0" encoding="UTF-8"?>
<Relationships xmlns="http://schemas.openxmlformats.org/package/2006/relationships"><Relationship Id="rId1" Type="http://schemas.openxmlformats.org/officeDocument/2006/relationships/drawing" Target="../drawings/drawing8.xml"/>
</Relationships>
</file>

<file path=xl/worksheets/_rels/sheet10.xml.rels><?xml version="1.0" encoding="UTF-8"?>
<Relationships xmlns="http://schemas.openxmlformats.org/package/2006/relationships"><Relationship Id="rId1" Type="http://schemas.openxmlformats.org/officeDocument/2006/relationships/drawing" Target="../drawings/drawing9.xml"/>
</Relationships>
</file>

<file path=xl/worksheets/_rels/sheet11.xml.rels><?xml version="1.0" encoding="UTF-8"?>
<Relationships xmlns="http://schemas.openxmlformats.org/package/2006/relationships"><Relationship Id="rId1" Type="http://schemas.openxmlformats.org/officeDocument/2006/relationships/drawing" Target="../drawings/drawing10.xml"/>
</Relationships>
</file>

<file path=xl/worksheets/_rels/sheet12.xml.rels><?xml version="1.0" encoding="UTF-8"?>
<Relationships xmlns="http://schemas.openxmlformats.org/package/2006/relationships"><Relationship Id="rId1" Type="http://schemas.openxmlformats.org/officeDocument/2006/relationships/drawing" Target="../drawings/drawing11.xml"/>
</Relationships>
</file>

<file path=xl/worksheets/_rels/sheet13.xml.rels><?xml version="1.0" encoding="UTF-8"?>
<Relationships xmlns="http://schemas.openxmlformats.org/package/2006/relationships"><Relationship Id="rId1" Type="http://schemas.openxmlformats.org/officeDocument/2006/relationships/drawing" Target="../drawings/drawing1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32"/>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44"/>
    <col collapsed="false" customWidth="true" hidden="false" outlineLevel="0" max="2" min="2" style="1" width="70"/>
    <col collapsed="false" customWidth="true" hidden="false" outlineLevel="0" max="3" min="3" style="1" width="18"/>
  </cols>
  <sheetData>
    <row r="1" customFormat="false" ht="17.25" hidden="false" customHeight="true" outlineLevel="0" collapsed="false">
      <c r="A1" s="2" t="s">
        <v>0</v>
      </c>
    </row>
    <row r="2" customFormat="false" ht="15" hidden="false" customHeight="true" outlineLevel="0" collapsed="false">
      <c r="A2" s="1" t="s">
        <v>1</v>
      </c>
    </row>
    <row r="3" customFormat="false" ht="15" hidden="false" customHeight="true" outlineLevel="0" collapsed="false">
      <c r="A3" s="1" t="s">
        <v>2</v>
      </c>
    </row>
    <row r="5" customFormat="false" ht="15" hidden="false" customHeight="true" outlineLevel="0" collapsed="false">
      <c r="A5" s="3" t="s">
        <v>3</v>
      </c>
      <c r="B5" s="3" t="s">
        <v>4</v>
      </c>
      <c r="C5" s="3" t="s">
        <v>5</v>
      </c>
    </row>
    <row r="6" customFormat="false" ht="15" hidden="false" customHeight="true" outlineLevel="0" collapsed="false">
      <c r="A6" s="4" t="s">
        <v>6</v>
      </c>
      <c r="B6" s="1" t="n">
        <f aca="false">COUNTIF(Requirements!D:D,"Matches")</f>
        <v>137</v>
      </c>
      <c r="C6" s="1" t="n">
        <f aca="false">COUNTIF('Use Cases'!D:D,"Matches")</f>
        <v>67</v>
      </c>
    </row>
    <row r="7" customFormat="false" ht="15" hidden="false" customHeight="true" outlineLevel="0" collapsed="false">
      <c r="A7" s="5" t="s">
        <v>7</v>
      </c>
      <c r="B7" s="1" t="n">
        <f aca="false">COUNTIF(Requirements!D:D,"Partial")</f>
        <v>8</v>
      </c>
      <c r="C7" s="1" t="n">
        <f aca="false">COUNTIF('Use Cases'!D:D,"Partial")</f>
        <v>1</v>
      </c>
    </row>
    <row r="8" customFormat="false" ht="15" hidden="false" customHeight="true" outlineLevel="0" collapsed="false">
      <c r="A8" s="6" t="s">
        <v>8</v>
      </c>
      <c r="B8" s="1" t="n">
        <f aca="false">COUNTIF(Requirements!D:D,"Deviates")</f>
        <v>3</v>
      </c>
      <c r="C8" s="1" t="n">
        <f aca="false">COUNTIF('Use Cases'!D:D,"Deviates")</f>
        <v>0</v>
      </c>
    </row>
    <row r="9" customFormat="false" ht="15" hidden="false" customHeight="true" outlineLevel="0" collapsed="false">
      <c r="A9" s="7" t="s">
        <v>9</v>
      </c>
      <c r="B9" s="1" t="n">
        <f aca="false">COUNTIF(Requirements!D:D,"Missing")</f>
        <v>0</v>
      </c>
      <c r="C9" s="1" t="n">
        <f aca="false">COUNTIF('Use Cases'!D:D,"Missing")</f>
        <v>0</v>
      </c>
    </row>
    <row r="10" customFormat="false" ht="15" hidden="false" customHeight="true" outlineLevel="0" collapsed="false">
      <c r="A10" s="8" t="s">
        <v>10</v>
      </c>
      <c r="B10" s="1" t="n">
        <f aca="false">COUNTIF(Requirements!D:D,"Not verified")</f>
        <v>4</v>
      </c>
      <c r="C10" s="1" t="n">
        <f aca="false">COUNTIF('Use Cases'!D:D,"Not verified")</f>
        <v>0</v>
      </c>
    </row>
    <row r="11" customFormat="false" ht="15" hidden="false" customHeight="true" outlineLevel="0" collapsed="false">
      <c r="A11" s="9" t="s">
        <v>11</v>
      </c>
      <c r="B11" s="1" t="n">
        <f aca="false">COUNTIF(Requirements!D:D,"N/A")</f>
        <v>1</v>
      </c>
      <c r="C11" s="1" t="n">
        <f aca="false">COUNTIF('Use Cases'!D:D,"N/A")</f>
        <v>2</v>
      </c>
    </row>
    <row r="12" customFormat="false" ht="15" hidden="false" customHeight="true" outlineLevel="0" collapsed="false">
      <c r="A12" s="10" t="s">
        <v>12</v>
      </c>
      <c r="B12" s="1" t="n">
        <f aca="false">SUM(B6:B11)</f>
        <v>153</v>
      </c>
      <c r="C12" s="1" t="n">
        <f aca="false">SUM(C6:C11)</f>
        <v>70</v>
      </c>
    </row>
    <row r="14" customFormat="false" ht="15" hidden="false" customHeight="true" outlineLevel="0" collapsed="false">
      <c r="A14" s="3" t="s">
        <v>13</v>
      </c>
      <c r="B14" s="3" t="s">
        <v>4</v>
      </c>
    </row>
    <row r="15" customFormat="false" ht="15" hidden="false" customHeight="true" outlineLevel="0" collapsed="false">
      <c r="A15" s="1" t="s">
        <v>14</v>
      </c>
      <c r="B15" s="1" t="n">
        <f aca="false">COUNTIF(Requirements!G:G,"Change system")</f>
        <v>6</v>
      </c>
    </row>
    <row r="16" customFormat="false" ht="15" hidden="false" customHeight="true" outlineLevel="0" collapsed="false">
      <c r="A16" s="1" t="s">
        <v>15</v>
      </c>
      <c r="B16" s="1" t="n">
        <f aca="false">COUNTIF(Requirements!G:G,"Change paper")</f>
        <v>1</v>
      </c>
    </row>
    <row r="17" customFormat="false" ht="15" hidden="false" customHeight="true" outlineLevel="0" collapsed="false">
      <c r="A17" s="1" t="s">
        <v>16</v>
      </c>
      <c r="B17" s="1" t="n">
        <f aca="false">COUNTIF(Requirements!G:G,"System + paper")</f>
        <v>3</v>
      </c>
    </row>
    <row r="18" customFormat="false" ht="15" hidden="false" customHeight="true" outlineLevel="0" collapsed="false">
      <c r="A18" s="1" t="s">
        <v>17</v>
      </c>
      <c r="B18" s="1" t="n">
        <f aca="false">COUNTIF(Requirements!G:G,"Move to Limitations")</f>
        <v>0</v>
      </c>
    </row>
    <row r="19" customFormat="false" ht="15" hidden="false" customHeight="true" outlineLevel="0" collapsed="false">
      <c r="A19" s="1" t="s">
        <v>18</v>
      </c>
      <c r="B19" s="1" t="n">
        <f aca="false">COUNTIF(Requirements!G:G,"Decision needed")</f>
        <v>6</v>
      </c>
    </row>
    <row r="20" customFormat="false" ht="15" hidden="false" customHeight="true" outlineLevel="0" collapsed="false">
      <c r="A20" s="10" t="s">
        <v>19</v>
      </c>
      <c r="B20" s="1" t="n">
        <f aca="false">COUNTIF('To-Do'!K:K,"Open")</f>
        <v>79</v>
      </c>
    </row>
    <row r="22" customFormat="false" ht="15" hidden="false" customHeight="true" outlineLevel="0" collapsed="false">
      <c r="A22" s="10" t="s">
        <v>20</v>
      </c>
    </row>
    <row r="23" customFormat="false" ht="15" hidden="false" customHeight="true" outlineLevel="0" collapsed="false">
      <c r="A23" s="10" t="s">
        <v>6</v>
      </c>
      <c r="B23" s="1" t="s">
        <v>21</v>
      </c>
    </row>
    <row r="24" customFormat="false" ht="15" hidden="false" customHeight="true" outlineLevel="0" collapsed="false">
      <c r="A24" s="10" t="s">
        <v>7</v>
      </c>
      <c r="B24" s="1" t="s">
        <v>22</v>
      </c>
    </row>
    <row r="25" customFormat="false" ht="15" hidden="false" customHeight="true" outlineLevel="0" collapsed="false">
      <c r="A25" s="10" t="s">
        <v>8</v>
      </c>
      <c r="B25" s="1" t="s">
        <v>23</v>
      </c>
    </row>
    <row r="26" customFormat="false" ht="15" hidden="false" customHeight="true" outlineLevel="0" collapsed="false">
      <c r="A26" s="10" t="s">
        <v>9</v>
      </c>
      <c r="B26" s="1" t="s">
        <v>24</v>
      </c>
    </row>
    <row r="27" customFormat="false" ht="15" hidden="false" customHeight="true" outlineLevel="0" collapsed="false">
      <c r="A27" s="10" t="s">
        <v>10</v>
      </c>
      <c r="B27" s="1" t="s">
        <v>25</v>
      </c>
    </row>
    <row r="28" customFormat="false" ht="15" hidden="false" customHeight="true" outlineLevel="0" collapsed="false">
      <c r="A28" s="10" t="s">
        <v>26</v>
      </c>
      <c r="B28" s="1" t="s">
        <v>27</v>
      </c>
    </row>
    <row r="29" customFormat="false" ht="15" hidden="false" customHeight="true" outlineLevel="0" collapsed="false">
      <c r="A29" s="10" t="s">
        <v>17</v>
      </c>
      <c r="B29" s="1" t="s">
        <v>28</v>
      </c>
    </row>
    <row r="30" customFormat="false" ht="15" hidden="false" customHeight="true" outlineLevel="0" collapsed="false">
      <c r="A30" s="10" t="s">
        <v>18</v>
      </c>
      <c r="B30" s="1" t="s">
        <v>29</v>
      </c>
    </row>
    <row r="31" customFormat="false" ht="15" hidden="false" customHeight="true" outlineLevel="0" collapsed="false">
      <c r="A31" s="10" t="s">
        <v>30</v>
      </c>
      <c r="B31" s="1" t="s">
        <v>31</v>
      </c>
    </row>
    <row r="32" customFormat="false" ht="15" hidden="false" customHeight="true" outlineLevel="0" collapsed="false">
      <c r="A32" s="10" t="s">
        <v>32</v>
      </c>
      <c r="B32" s="1" t="s">
        <v>33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9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5"/>
    <col collapsed="false" customWidth="true" hidden="false" outlineLevel="0" max="2" min="2" style="1" width="14"/>
    <col collapsed="false" customWidth="true" hidden="false" outlineLevel="0" max="3" min="3" style="1" width="30"/>
    <col collapsed="false" customWidth="true" hidden="false" outlineLevel="0" max="4" min="4" style="1" width="72"/>
    <col collapsed="false" customWidth="true" hidden="false" outlineLevel="0" max="5" min="5" style="1" width="14"/>
    <col collapsed="false" customWidth="true" hidden="false" outlineLevel="0" max="6" min="6" style="1" width="7"/>
    <col collapsed="false" customWidth="true" hidden="false" outlineLevel="0" max="7" min="7" style="1" width="10"/>
    <col collapsed="false" customWidth="true" hidden="false" outlineLevel="0" max="8" min="8" style="1" width="34"/>
    <col collapsed="false" customWidth="true" hidden="false" outlineLevel="0" max="9" min="9" style="1" width="22"/>
    <col collapsed="false" customWidth="true" hidden="false" outlineLevel="0" max="10" min="10" style="1" width="12"/>
    <col collapsed="false" customWidth="true" hidden="false" outlineLevel="0" max="11" min="11" style="1" width="11"/>
  </cols>
  <sheetData>
    <row r="1" customFormat="false" ht="27.75" hidden="false" customHeight="true" outlineLevel="0" collapsed="false">
      <c r="A1" s="11" t="s">
        <v>34</v>
      </c>
      <c r="B1" s="11" t="s">
        <v>35</v>
      </c>
      <c r="C1" s="11" t="s">
        <v>36</v>
      </c>
      <c r="D1" s="11" t="s">
        <v>37</v>
      </c>
      <c r="E1" s="11" t="s">
        <v>38</v>
      </c>
      <c r="F1" s="11" t="s">
        <v>32</v>
      </c>
      <c r="G1" s="11" t="s">
        <v>30</v>
      </c>
      <c r="H1" s="11" t="s">
        <v>39</v>
      </c>
      <c r="I1" s="11" t="s">
        <v>40</v>
      </c>
      <c r="J1" s="11" t="s">
        <v>41</v>
      </c>
      <c r="K1" s="11" t="s">
        <v>3</v>
      </c>
    </row>
    <row r="2" customFormat="false" ht="122.25" hidden="false" customHeight="true" outlineLevel="0" collapsed="false">
      <c r="A2" s="12" t="n">
        <v>1</v>
      </c>
      <c r="B2" s="13" t="s">
        <v>42</v>
      </c>
      <c r="C2" s="12" t="s">
        <v>43</v>
      </c>
      <c r="D2" s="12" t="s">
        <v>44</v>
      </c>
      <c r="E2" s="12" t="s">
        <v>45</v>
      </c>
      <c r="F2" s="12" t="s">
        <v>46</v>
      </c>
      <c r="G2" s="12" t="s">
        <v>47</v>
      </c>
      <c r="H2" s="12" t="s">
        <v>48</v>
      </c>
      <c r="I2" s="12" t="s">
        <v>49</v>
      </c>
      <c r="J2" s="12"/>
      <c r="K2" s="13" t="s">
        <v>45</v>
      </c>
    </row>
    <row r="3" customFormat="false" ht="41.25" hidden="false" customHeight="true" outlineLevel="0" collapsed="false">
      <c r="A3" s="12" t="n">
        <v>2</v>
      </c>
      <c r="B3" s="13" t="s">
        <v>42</v>
      </c>
      <c r="C3" s="12" t="s">
        <v>50</v>
      </c>
      <c r="D3" s="12" t="s">
        <v>51</v>
      </c>
      <c r="E3" s="12" t="s">
        <v>45</v>
      </c>
      <c r="F3" s="12" t="s">
        <v>46</v>
      </c>
      <c r="G3" s="12" t="s">
        <v>47</v>
      </c>
      <c r="H3" s="12" t="s">
        <v>52</v>
      </c>
      <c r="I3" s="12" t="s">
        <v>49</v>
      </c>
      <c r="J3" s="12"/>
      <c r="K3" s="13" t="s">
        <v>45</v>
      </c>
    </row>
    <row r="4" customFormat="false" ht="41.25" hidden="false" customHeight="true" outlineLevel="0" collapsed="false">
      <c r="A4" s="12" t="n">
        <v>3</v>
      </c>
      <c r="B4" s="13" t="s">
        <v>42</v>
      </c>
      <c r="C4" s="12" t="s">
        <v>53</v>
      </c>
      <c r="D4" s="12" t="s">
        <v>54</v>
      </c>
      <c r="E4" s="12" t="s">
        <v>45</v>
      </c>
      <c r="F4" s="12" t="s">
        <v>46</v>
      </c>
      <c r="G4" s="12" t="s">
        <v>47</v>
      </c>
      <c r="H4" s="12" t="s">
        <v>55</v>
      </c>
      <c r="I4" s="12" t="s">
        <v>49</v>
      </c>
      <c r="J4" s="12"/>
      <c r="K4" s="13" t="s">
        <v>45</v>
      </c>
    </row>
    <row r="5" customFormat="false" ht="229.5" hidden="false" customHeight="true" outlineLevel="0" collapsed="false">
      <c r="A5" s="12" t="n">
        <v>4</v>
      </c>
      <c r="B5" s="13" t="s">
        <v>42</v>
      </c>
      <c r="C5" s="12" t="s">
        <v>56</v>
      </c>
      <c r="D5" s="12" t="s">
        <v>57</v>
      </c>
      <c r="E5" s="12" t="s">
        <v>45</v>
      </c>
      <c r="F5" s="12" t="s">
        <v>46</v>
      </c>
      <c r="G5" s="12" t="s">
        <v>47</v>
      </c>
      <c r="H5" s="12" t="s">
        <v>58</v>
      </c>
      <c r="I5" s="12" t="s">
        <v>49</v>
      </c>
      <c r="J5" s="12"/>
      <c r="K5" s="13" t="s">
        <v>45</v>
      </c>
    </row>
    <row r="6" customFormat="false" ht="68.25" hidden="false" customHeight="true" outlineLevel="0" collapsed="false">
      <c r="A6" s="12" t="n">
        <v>5</v>
      </c>
      <c r="B6" s="13" t="s">
        <v>42</v>
      </c>
      <c r="C6" s="12" t="s">
        <v>59</v>
      </c>
      <c r="D6" s="12" t="s">
        <v>60</v>
      </c>
      <c r="E6" s="12" t="s">
        <v>61</v>
      </c>
      <c r="F6" s="12" t="s">
        <v>46</v>
      </c>
      <c r="G6" s="12" t="s">
        <v>47</v>
      </c>
      <c r="H6" s="12"/>
      <c r="I6" s="12" t="s">
        <v>49</v>
      </c>
      <c r="J6" s="12"/>
      <c r="K6" s="13" t="s">
        <v>45</v>
      </c>
    </row>
    <row r="7" customFormat="false" ht="149.25" hidden="false" customHeight="true" outlineLevel="0" collapsed="false">
      <c r="A7" s="12" t="n">
        <v>6</v>
      </c>
      <c r="B7" s="13" t="s">
        <v>62</v>
      </c>
      <c r="C7" s="12" t="s">
        <v>63</v>
      </c>
      <c r="D7" s="12" t="s">
        <v>64</v>
      </c>
      <c r="E7" s="12" t="s">
        <v>9</v>
      </c>
      <c r="F7" s="12" t="s">
        <v>65</v>
      </c>
      <c r="G7" s="12" t="s">
        <v>47</v>
      </c>
      <c r="H7" s="12" t="s">
        <v>66</v>
      </c>
      <c r="I7" s="12" t="s">
        <v>49</v>
      </c>
      <c r="J7" s="12"/>
      <c r="K7" s="13" t="s">
        <v>67</v>
      </c>
    </row>
    <row r="8" customFormat="false" ht="27.75" hidden="false" customHeight="true" outlineLevel="0" collapsed="false">
      <c r="A8" s="12" t="n">
        <v>7</v>
      </c>
      <c r="B8" s="13" t="s">
        <v>62</v>
      </c>
      <c r="C8" s="12" t="s">
        <v>68</v>
      </c>
      <c r="D8" s="12" t="s">
        <v>69</v>
      </c>
      <c r="E8" s="12" t="s">
        <v>61</v>
      </c>
      <c r="F8" s="12" t="s">
        <v>46</v>
      </c>
      <c r="G8" s="12" t="s">
        <v>47</v>
      </c>
      <c r="H8" s="12" t="s">
        <v>70</v>
      </c>
      <c r="I8" s="12" t="s">
        <v>49</v>
      </c>
      <c r="J8" s="12"/>
      <c r="K8" s="13" t="s">
        <v>67</v>
      </c>
    </row>
    <row r="9" customFormat="false" ht="27.75" hidden="false" customHeight="true" outlineLevel="0" collapsed="false">
      <c r="A9" s="12" t="n">
        <v>8</v>
      </c>
      <c r="B9" s="13" t="s">
        <v>71</v>
      </c>
      <c r="C9" s="12" t="s">
        <v>72</v>
      </c>
      <c r="D9" s="12" t="s">
        <v>73</v>
      </c>
      <c r="E9" s="12" t="s">
        <v>7</v>
      </c>
      <c r="F9" s="12" t="s">
        <v>46</v>
      </c>
      <c r="G9" s="12" t="s">
        <v>47</v>
      </c>
      <c r="H9" s="12" t="s">
        <v>74</v>
      </c>
      <c r="I9" s="12" t="s">
        <v>49</v>
      </c>
      <c r="J9" s="12"/>
      <c r="K9" s="13" t="s">
        <v>67</v>
      </c>
    </row>
    <row r="10" customFormat="false" ht="297" hidden="false" customHeight="true" outlineLevel="0" collapsed="false">
      <c r="A10" s="12" t="n">
        <v>9</v>
      </c>
      <c r="B10" s="13" t="s">
        <v>71</v>
      </c>
      <c r="C10" s="12" t="s">
        <v>75</v>
      </c>
      <c r="D10" s="12" t="s">
        <v>76</v>
      </c>
      <c r="E10" s="12" t="s">
        <v>7</v>
      </c>
      <c r="F10" s="12" t="s">
        <v>65</v>
      </c>
      <c r="G10" s="12" t="s">
        <v>47</v>
      </c>
      <c r="H10" s="12" t="s">
        <v>77</v>
      </c>
      <c r="I10" s="12" t="s">
        <v>49</v>
      </c>
      <c r="J10" s="12"/>
      <c r="K10" s="13" t="s">
        <v>67</v>
      </c>
    </row>
    <row r="11" customFormat="false" ht="54.75" hidden="false" customHeight="true" outlineLevel="0" collapsed="false">
      <c r="A11" s="12" t="n">
        <v>10</v>
      </c>
      <c r="B11" s="13" t="s">
        <v>71</v>
      </c>
      <c r="C11" s="12" t="s">
        <v>78</v>
      </c>
      <c r="D11" s="12" t="s">
        <v>79</v>
      </c>
      <c r="E11" s="12" t="s">
        <v>7</v>
      </c>
      <c r="F11" s="12" t="s">
        <v>80</v>
      </c>
      <c r="G11" s="12" t="s">
        <v>47</v>
      </c>
      <c r="H11" s="12" t="s">
        <v>81</v>
      </c>
      <c r="I11" s="12" t="s">
        <v>49</v>
      </c>
      <c r="J11" s="12"/>
      <c r="K11" s="13" t="s">
        <v>67</v>
      </c>
    </row>
    <row r="12" customFormat="false" ht="41.25" hidden="false" customHeight="true" outlineLevel="0" collapsed="false">
      <c r="A12" s="12" t="n">
        <v>11</v>
      </c>
      <c r="B12" s="13" t="s">
        <v>71</v>
      </c>
      <c r="C12" s="12" t="s">
        <v>82</v>
      </c>
      <c r="D12" s="12" t="s">
        <v>83</v>
      </c>
      <c r="E12" s="12" t="s">
        <v>7</v>
      </c>
      <c r="F12" s="12" t="s">
        <v>46</v>
      </c>
      <c r="G12" s="12" t="s">
        <v>47</v>
      </c>
      <c r="H12" s="12" t="s">
        <v>84</v>
      </c>
      <c r="I12" s="12" t="s">
        <v>49</v>
      </c>
      <c r="J12" s="12"/>
      <c r="K12" s="13" t="s">
        <v>67</v>
      </c>
    </row>
    <row r="13" customFormat="false" ht="15" hidden="false" customHeight="true" outlineLevel="0" collapsed="false">
      <c r="A13" s="12" t="n">
        <v>12</v>
      </c>
      <c r="B13" s="13" t="s">
        <v>71</v>
      </c>
      <c r="C13" s="12" t="s">
        <v>85</v>
      </c>
      <c r="D13" s="12" t="s">
        <v>86</v>
      </c>
      <c r="E13" s="12" t="s">
        <v>7</v>
      </c>
      <c r="F13" s="12" t="s">
        <v>46</v>
      </c>
      <c r="G13" s="12" t="s">
        <v>47</v>
      </c>
      <c r="H13" s="12" t="s">
        <v>87</v>
      </c>
      <c r="I13" s="12" t="s">
        <v>49</v>
      </c>
      <c r="J13" s="12"/>
      <c r="K13" s="13" t="s">
        <v>45</v>
      </c>
    </row>
    <row r="14" customFormat="false" ht="54.75" hidden="false" customHeight="true" outlineLevel="0" collapsed="false">
      <c r="A14" s="12" t="n">
        <v>13</v>
      </c>
      <c r="B14" s="13" t="s">
        <v>71</v>
      </c>
      <c r="C14" s="12" t="s">
        <v>88</v>
      </c>
      <c r="D14" s="12" t="s">
        <v>89</v>
      </c>
      <c r="E14" s="12" t="s">
        <v>9</v>
      </c>
      <c r="F14" s="12" t="s">
        <v>46</v>
      </c>
      <c r="G14" s="12" t="s">
        <v>47</v>
      </c>
      <c r="H14" s="12" t="s">
        <v>90</v>
      </c>
      <c r="I14" s="12" t="s">
        <v>49</v>
      </c>
      <c r="J14" s="12"/>
      <c r="K14" s="13" t="s">
        <v>67</v>
      </c>
    </row>
    <row r="15" customFormat="false" ht="41.25" hidden="false" customHeight="true" outlineLevel="0" collapsed="false">
      <c r="A15" s="12" t="n">
        <v>14</v>
      </c>
      <c r="B15" s="13" t="s">
        <v>71</v>
      </c>
      <c r="C15" s="12" t="s">
        <v>91</v>
      </c>
      <c r="D15" s="12" t="s">
        <v>92</v>
      </c>
      <c r="E15" s="12" t="s">
        <v>93</v>
      </c>
      <c r="F15" s="12" t="s">
        <v>46</v>
      </c>
      <c r="G15" s="12" t="s">
        <v>47</v>
      </c>
      <c r="H15" s="12" t="s">
        <v>94</v>
      </c>
      <c r="I15" s="12" t="s">
        <v>49</v>
      </c>
      <c r="J15" s="12"/>
      <c r="K15" s="13" t="s">
        <v>67</v>
      </c>
    </row>
    <row r="16" customFormat="false" ht="81.75" hidden="false" customHeight="true" outlineLevel="0" collapsed="false">
      <c r="A16" s="12" t="n">
        <v>15</v>
      </c>
      <c r="B16" s="13" t="s">
        <v>71</v>
      </c>
      <c r="C16" s="12" t="s">
        <v>95</v>
      </c>
      <c r="D16" s="12" t="s">
        <v>96</v>
      </c>
      <c r="E16" s="12" t="s">
        <v>7</v>
      </c>
      <c r="F16" s="12" t="s">
        <v>46</v>
      </c>
      <c r="G16" s="12" t="s">
        <v>47</v>
      </c>
      <c r="H16" s="12" t="s">
        <v>97</v>
      </c>
      <c r="I16" s="12" t="s">
        <v>49</v>
      </c>
      <c r="J16" s="12"/>
      <c r="K16" s="13" t="s">
        <v>67</v>
      </c>
    </row>
    <row r="17" customFormat="false" ht="68.25" hidden="false" customHeight="true" outlineLevel="0" collapsed="false">
      <c r="A17" s="12" t="n">
        <v>16</v>
      </c>
      <c r="B17" s="13" t="s">
        <v>71</v>
      </c>
      <c r="C17" s="12" t="s">
        <v>98</v>
      </c>
      <c r="D17" s="12" t="s">
        <v>99</v>
      </c>
      <c r="E17" s="12" t="s">
        <v>9</v>
      </c>
      <c r="F17" s="12" t="s">
        <v>80</v>
      </c>
      <c r="G17" s="12" t="s">
        <v>47</v>
      </c>
      <c r="H17" s="12" t="s">
        <v>100</v>
      </c>
      <c r="I17" s="12" t="s">
        <v>49</v>
      </c>
      <c r="J17" s="12"/>
      <c r="K17" s="13" t="s">
        <v>67</v>
      </c>
    </row>
    <row r="18" customFormat="false" ht="41.25" hidden="false" customHeight="true" outlineLevel="0" collapsed="false">
      <c r="A18" s="12" t="n">
        <v>17</v>
      </c>
      <c r="B18" s="13" t="s">
        <v>71</v>
      </c>
      <c r="C18" s="12" t="s">
        <v>101</v>
      </c>
      <c r="D18" s="12" t="s">
        <v>102</v>
      </c>
      <c r="E18" s="12" t="s">
        <v>9</v>
      </c>
      <c r="F18" s="12" t="s">
        <v>46</v>
      </c>
      <c r="G18" s="12" t="s">
        <v>47</v>
      </c>
      <c r="H18" s="12" t="s">
        <v>103</v>
      </c>
      <c r="I18" s="12" t="s">
        <v>49</v>
      </c>
      <c r="J18" s="12"/>
      <c r="K18" s="13" t="s">
        <v>67</v>
      </c>
    </row>
    <row r="19" customFormat="false" ht="41.25" hidden="false" customHeight="true" outlineLevel="0" collapsed="false">
      <c r="A19" s="12" t="n">
        <v>18</v>
      </c>
      <c r="B19" s="13" t="s">
        <v>71</v>
      </c>
      <c r="C19" s="12" t="s">
        <v>104</v>
      </c>
      <c r="D19" s="12" t="s">
        <v>105</v>
      </c>
      <c r="E19" s="12" t="s">
        <v>7</v>
      </c>
      <c r="F19" s="12" t="s">
        <v>46</v>
      </c>
      <c r="G19" s="12" t="s">
        <v>47</v>
      </c>
      <c r="H19" s="12" t="s">
        <v>106</v>
      </c>
      <c r="I19" s="12" t="s">
        <v>49</v>
      </c>
      <c r="J19" s="12"/>
      <c r="K19" s="13" t="s">
        <v>67</v>
      </c>
    </row>
    <row r="20" customFormat="false" ht="95.25" hidden="false" customHeight="true" outlineLevel="0" collapsed="false">
      <c r="A20" s="12" t="n">
        <v>19</v>
      </c>
      <c r="B20" s="13" t="s">
        <v>71</v>
      </c>
      <c r="C20" s="12" t="s">
        <v>107</v>
      </c>
      <c r="D20" s="12" t="s">
        <v>108</v>
      </c>
      <c r="E20" s="12" t="s">
        <v>7</v>
      </c>
      <c r="F20" s="12" t="s">
        <v>80</v>
      </c>
      <c r="G20" s="12" t="s">
        <v>47</v>
      </c>
      <c r="H20" s="12" t="s">
        <v>109</v>
      </c>
      <c r="I20" s="12" t="s">
        <v>49</v>
      </c>
      <c r="J20" s="12"/>
      <c r="K20" s="13" t="s">
        <v>67</v>
      </c>
    </row>
    <row r="21" customFormat="false" ht="41.25" hidden="false" customHeight="true" outlineLevel="0" collapsed="false">
      <c r="A21" s="12" t="n">
        <v>20</v>
      </c>
      <c r="B21" s="13" t="s">
        <v>71</v>
      </c>
      <c r="C21" s="12" t="s">
        <v>110</v>
      </c>
      <c r="D21" s="12" t="s">
        <v>111</v>
      </c>
      <c r="E21" s="12" t="s">
        <v>67</v>
      </c>
      <c r="F21" s="12" t="s">
        <v>80</v>
      </c>
      <c r="G21" s="12" t="s">
        <v>47</v>
      </c>
      <c r="H21" s="12" t="s">
        <v>112</v>
      </c>
      <c r="I21" s="12" t="s">
        <v>49</v>
      </c>
      <c r="J21" s="12"/>
      <c r="K21" s="13" t="s">
        <v>67</v>
      </c>
    </row>
    <row r="22" customFormat="false" ht="41.25" hidden="false" customHeight="true" outlineLevel="0" collapsed="false">
      <c r="A22" s="12" t="n">
        <v>21</v>
      </c>
      <c r="B22" s="13" t="s">
        <v>71</v>
      </c>
      <c r="C22" s="12" t="s">
        <v>113</v>
      </c>
      <c r="D22" s="12" t="s">
        <v>114</v>
      </c>
      <c r="E22" s="12" t="s">
        <v>67</v>
      </c>
      <c r="F22" s="12" t="s">
        <v>80</v>
      </c>
      <c r="G22" s="12" t="s">
        <v>47</v>
      </c>
      <c r="H22" s="12" t="s">
        <v>115</v>
      </c>
      <c r="I22" s="12" t="s">
        <v>49</v>
      </c>
      <c r="J22" s="12"/>
      <c r="K22" s="13" t="s">
        <v>67</v>
      </c>
    </row>
    <row r="23" customFormat="false" ht="27.75" hidden="false" customHeight="true" outlineLevel="0" collapsed="false">
      <c r="A23" s="12" t="n">
        <v>22</v>
      </c>
      <c r="B23" s="13" t="s">
        <v>71</v>
      </c>
      <c r="C23" s="12" t="s">
        <v>116</v>
      </c>
      <c r="D23" s="12" t="s">
        <v>117</v>
      </c>
      <c r="E23" s="12" t="s">
        <v>67</v>
      </c>
      <c r="F23" s="12" t="s">
        <v>46</v>
      </c>
      <c r="G23" s="12" t="s">
        <v>47</v>
      </c>
      <c r="H23" s="12" t="s">
        <v>118</v>
      </c>
      <c r="I23" s="12" t="s">
        <v>49</v>
      </c>
      <c r="J23" s="12"/>
      <c r="K23" s="13" t="s">
        <v>67</v>
      </c>
    </row>
    <row r="24" customFormat="false" ht="81.75" hidden="false" customHeight="true" outlineLevel="0" collapsed="false">
      <c r="A24" s="12" t="n">
        <v>23</v>
      </c>
      <c r="B24" s="13" t="s">
        <v>71</v>
      </c>
      <c r="C24" s="12" t="s">
        <v>119</v>
      </c>
      <c r="D24" s="12" t="s">
        <v>120</v>
      </c>
      <c r="E24" s="12" t="s">
        <v>121</v>
      </c>
      <c r="F24" s="12" t="s">
        <v>46</v>
      </c>
      <c r="G24" s="12" t="s">
        <v>47</v>
      </c>
      <c r="H24" s="12" t="s">
        <v>122</v>
      </c>
      <c r="I24" s="12" t="s">
        <v>49</v>
      </c>
      <c r="J24" s="12"/>
      <c r="K24" s="13" t="s">
        <v>67</v>
      </c>
    </row>
    <row r="25" customFormat="false" ht="41.25" hidden="false" customHeight="true" outlineLevel="0" collapsed="false">
      <c r="A25" s="12" t="n">
        <v>24</v>
      </c>
      <c r="B25" s="13" t="s">
        <v>71</v>
      </c>
      <c r="C25" s="12" t="s">
        <v>123</v>
      </c>
      <c r="D25" s="12" t="s">
        <v>124</v>
      </c>
      <c r="E25" s="12" t="s">
        <v>121</v>
      </c>
      <c r="F25" s="12" t="s">
        <v>46</v>
      </c>
      <c r="G25" s="12" t="s">
        <v>47</v>
      </c>
      <c r="H25" s="12" t="s">
        <v>125</v>
      </c>
      <c r="I25" s="12" t="s">
        <v>49</v>
      </c>
      <c r="J25" s="12"/>
      <c r="K25" s="13" t="s">
        <v>67</v>
      </c>
    </row>
    <row r="26" customFormat="false" ht="54.75" hidden="false" customHeight="true" outlineLevel="0" collapsed="false">
      <c r="A26" s="12" t="n">
        <v>25</v>
      </c>
      <c r="B26" s="13" t="s">
        <v>71</v>
      </c>
      <c r="C26" s="12" t="s">
        <v>126</v>
      </c>
      <c r="D26" s="12" t="s">
        <v>127</v>
      </c>
      <c r="E26" s="12" t="s">
        <v>121</v>
      </c>
      <c r="F26" s="12" t="s">
        <v>46</v>
      </c>
      <c r="G26" s="12" t="s">
        <v>47</v>
      </c>
      <c r="H26" s="12" t="s">
        <v>128</v>
      </c>
      <c r="I26" s="12" t="s">
        <v>49</v>
      </c>
      <c r="J26" s="12"/>
      <c r="K26" s="13" t="s">
        <v>67</v>
      </c>
    </row>
    <row r="27" customFormat="false" ht="202.5" hidden="false" customHeight="true" outlineLevel="0" collapsed="false">
      <c r="A27" s="12" t="n">
        <v>26</v>
      </c>
      <c r="B27" s="13" t="s">
        <v>16</v>
      </c>
      <c r="C27" s="12" t="s">
        <v>129</v>
      </c>
      <c r="D27" s="12" t="s">
        <v>130</v>
      </c>
      <c r="E27" s="12" t="s">
        <v>9</v>
      </c>
      <c r="F27" s="12" t="s">
        <v>80</v>
      </c>
      <c r="G27" s="12" t="s">
        <v>47</v>
      </c>
      <c r="H27" s="12" t="s">
        <v>131</v>
      </c>
      <c r="I27" s="12" t="s">
        <v>132</v>
      </c>
      <c r="J27" s="12"/>
      <c r="K27" s="13" t="s">
        <v>67</v>
      </c>
    </row>
    <row r="28" customFormat="false" ht="41.25" hidden="false" customHeight="true" outlineLevel="0" collapsed="false">
      <c r="A28" s="12" t="n">
        <v>27</v>
      </c>
      <c r="B28" s="13" t="s">
        <v>16</v>
      </c>
      <c r="C28" s="12" t="s">
        <v>133</v>
      </c>
      <c r="D28" s="12" t="s">
        <v>134</v>
      </c>
      <c r="E28" s="12" t="s">
        <v>93</v>
      </c>
      <c r="F28" s="12" t="s">
        <v>46</v>
      </c>
      <c r="G28" s="12" t="s">
        <v>47</v>
      </c>
      <c r="H28" s="12" t="s">
        <v>135</v>
      </c>
      <c r="I28" s="12" t="s">
        <v>132</v>
      </c>
      <c r="J28" s="12"/>
      <c r="K28" s="13" t="s">
        <v>67</v>
      </c>
    </row>
    <row r="29" customFormat="false" ht="95.25" hidden="false" customHeight="true" outlineLevel="0" collapsed="false">
      <c r="A29" s="12" t="n">
        <v>28</v>
      </c>
      <c r="B29" s="13" t="s">
        <v>16</v>
      </c>
      <c r="C29" s="12" t="s">
        <v>136</v>
      </c>
      <c r="D29" s="12" t="s">
        <v>137</v>
      </c>
      <c r="E29" s="12" t="s">
        <v>7</v>
      </c>
      <c r="F29" s="12" t="s">
        <v>46</v>
      </c>
      <c r="G29" s="12" t="s">
        <v>47</v>
      </c>
      <c r="H29" s="12" t="s">
        <v>138</v>
      </c>
      <c r="I29" s="12" t="s">
        <v>132</v>
      </c>
      <c r="J29" s="12"/>
      <c r="K29" s="13" t="s">
        <v>67</v>
      </c>
    </row>
    <row r="30" customFormat="false" ht="41.25" hidden="false" customHeight="true" outlineLevel="0" collapsed="false">
      <c r="A30" s="12" t="n">
        <v>29</v>
      </c>
      <c r="B30" s="13" t="s">
        <v>139</v>
      </c>
      <c r="C30" s="12" t="s">
        <v>140</v>
      </c>
      <c r="D30" s="12" t="s">
        <v>141</v>
      </c>
      <c r="E30" s="12" t="s">
        <v>139</v>
      </c>
      <c r="F30" s="12" t="s">
        <v>46</v>
      </c>
      <c r="G30" s="12" t="s">
        <v>47</v>
      </c>
      <c r="H30" s="12" t="s">
        <v>142</v>
      </c>
      <c r="I30" s="14" t="s">
        <v>143</v>
      </c>
      <c r="J30" s="12"/>
      <c r="K30" s="13" t="s">
        <v>45</v>
      </c>
    </row>
    <row r="31" customFormat="false" ht="41.25" hidden="false" customHeight="true" outlineLevel="0" collapsed="false">
      <c r="A31" s="12" t="n">
        <v>30</v>
      </c>
      <c r="B31" s="13" t="s">
        <v>139</v>
      </c>
      <c r="C31" s="12" t="s">
        <v>144</v>
      </c>
      <c r="D31" s="12" t="s">
        <v>145</v>
      </c>
      <c r="E31" s="12" t="s">
        <v>61</v>
      </c>
      <c r="F31" s="12" t="s">
        <v>65</v>
      </c>
      <c r="G31" s="12" t="s">
        <v>47</v>
      </c>
      <c r="H31" s="12"/>
      <c r="I31" s="12" t="s">
        <v>132</v>
      </c>
      <c r="J31" s="12"/>
      <c r="K31" s="13" t="s">
        <v>45</v>
      </c>
    </row>
    <row r="32" customFormat="false" ht="54.75" hidden="false" customHeight="true" outlineLevel="0" collapsed="false">
      <c r="A32" s="12" t="n">
        <v>31</v>
      </c>
      <c r="B32" s="13" t="s">
        <v>42</v>
      </c>
      <c r="C32" s="12" t="s">
        <v>146</v>
      </c>
      <c r="D32" s="12" t="s">
        <v>147</v>
      </c>
      <c r="E32" s="12" t="s">
        <v>45</v>
      </c>
      <c r="F32" s="12" t="s">
        <v>46</v>
      </c>
      <c r="G32" s="12" t="s">
        <v>148</v>
      </c>
      <c r="H32" s="12" t="s">
        <v>149</v>
      </c>
      <c r="I32" s="12" t="s">
        <v>49</v>
      </c>
      <c r="J32" s="12"/>
      <c r="K32" s="13" t="s">
        <v>45</v>
      </c>
    </row>
    <row r="33" customFormat="false" ht="54.75" hidden="false" customHeight="true" outlineLevel="0" collapsed="false">
      <c r="A33" s="12" t="n">
        <v>32</v>
      </c>
      <c r="B33" s="13" t="s">
        <v>62</v>
      </c>
      <c r="C33" s="12" t="s">
        <v>150</v>
      </c>
      <c r="D33" s="12" t="s">
        <v>151</v>
      </c>
      <c r="E33" s="12" t="s">
        <v>8</v>
      </c>
      <c r="F33" s="12" t="s">
        <v>46</v>
      </c>
      <c r="G33" s="12" t="s">
        <v>148</v>
      </c>
      <c r="H33" s="12" t="s">
        <v>152</v>
      </c>
      <c r="I33" s="12" t="s">
        <v>49</v>
      </c>
      <c r="J33" s="12"/>
      <c r="K33" s="13" t="s">
        <v>67</v>
      </c>
    </row>
    <row r="34" customFormat="false" ht="41.25" hidden="false" customHeight="true" outlineLevel="0" collapsed="false">
      <c r="A34" s="12" t="n">
        <v>33</v>
      </c>
      <c r="B34" s="13" t="s">
        <v>62</v>
      </c>
      <c r="C34" s="12" t="s">
        <v>153</v>
      </c>
      <c r="D34" s="12" t="s">
        <v>154</v>
      </c>
      <c r="E34" s="12" t="s">
        <v>8</v>
      </c>
      <c r="F34" s="12" t="s">
        <v>80</v>
      </c>
      <c r="G34" s="12" t="s">
        <v>148</v>
      </c>
      <c r="H34" s="12" t="s">
        <v>155</v>
      </c>
      <c r="I34" s="14" t="s">
        <v>143</v>
      </c>
      <c r="J34" s="12"/>
      <c r="K34" s="13" t="s">
        <v>67</v>
      </c>
    </row>
    <row r="35" customFormat="false" ht="15" hidden="false" customHeight="true" outlineLevel="0" collapsed="false">
      <c r="A35" s="12" t="n">
        <v>34</v>
      </c>
      <c r="B35" s="13" t="s">
        <v>71</v>
      </c>
      <c r="C35" s="12" t="s">
        <v>156</v>
      </c>
      <c r="D35" s="12" t="s">
        <v>157</v>
      </c>
      <c r="E35" s="12" t="s">
        <v>9</v>
      </c>
      <c r="F35" s="12" t="s">
        <v>46</v>
      </c>
      <c r="G35" s="12" t="s">
        <v>148</v>
      </c>
      <c r="H35" s="12" t="s">
        <v>158</v>
      </c>
      <c r="I35" s="12" t="s">
        <v>49</v>
      </c>
      <c r="J35" s="12"/>
      <c r="K35" s="13" t="s">
        <v>67</v>
      </c>
    </row>
    <row r="36" customFormat="false" ht="41.25" hidden="false" customHeight="true" outlineLevel="0" collapsed="false">
      <c r="A36" s="12" t="n">
        <v>35</v>
      </c>
      <c r="B36" s="13" t="s">
        <v>71</v>
      </c>
      <c r="C36" s="12" t="s">
        <v>159</v>
      </c>
      <c r="D36" s="12" t="s">
        <v>160</v>
      </c>
      <c r="E36" s="12" t="s">
        <v>9</v>
      </c>
      <c r="F36" s="12" t="s">
        <v>80</v>
      </c>
      <c r="G36" s="12" t="s">
        <v>148</v>
      </c>
      <c r="H36" s="12" t="s">
        <v>161</v>
      </c>
      <c r="I36" s="12" t="s">
        <v>162</v>
      </c>
      <c r="J36" s="12"/>
      <c r="K36" s="13" t="s">
        <v>163</v>
      </c>
    </row>
    <row r="37" customFormat="false" ht="81.75" hidden="false" customHeight="true" outlineLevel="0" collapsed="false">
      <c r="A37" s="12" t="n">
        <v>36</v>
      </c>
      <c r="B37" s="13" t="s">
        <v>71</v>
      </c>
      <c r="C37" s="12" t="s">
        <v>164</v>
      </c>
      <c r="D37" s="12" t="s">
        <v>165</v>
      </c>
      <c r="E37" s="12" t="s">
        <v>9</v>
      </c>
      <c r="F37" s="12" t="s">
        <v>80</v>
      </c>
      <c r="G37" s="12" t="s">
        <v>148</v>
      </c>
      <c r="H37" s="12" t="s">
        <v>166</v>
      </c>
      <c r="I37" s="12" t="s">
        <v>49</v>
      </c>
      <c r="J37" s="12"/>
      <c r="K37" s="13" t="s">
        <v>45</v>
      </c>
    </row>
    <row r="38" customFormat="false" ht="54.75" hidden="false" customHeight="true" outlineLevel="0" collapsed="false">
      <c r="A38" s="12" t="n">
        <v>37</v>
      </c>
      <c r="B38" s="13" t="s">
        <v>62</v>
      </c>
      <c r="C38" s="12" t="s">
        <v>167</v>
      </c>
      <c r="D38" s="12" t="s">
        <v>168</v>
      </c>
      <c r="E38" s="12" t="s">
        <v>45</v>
      </c>
      <c r="F38" s="12" t="s">
        <v>169</v>
      </c>
      <c r="G38" s="12" t="s">
        <v>148</v>
      </c>
      <c r="H38" s="12" t="s">
        <v>170</v>
      </c>
      <c r="I38" s="12" t="s">
        <v>49</v>
      </c>
      <c r="J38" s="12"/>
      <c r="K38" s="13" t="s">
        <v>45</v>
      </c>
    </row>
    <row r="39" customFormat="false" ht="27.75" hidden="false" customHeight="true" outlineLevel="0" collapsed="false">
      <c r="A39" s="12" t="n">
        <v>38</v>
      </c>
      <c r="B39" s="13" t="s">
        <v>62</v>
      </c>
      <c r="C39" s="12" t="s">
        <v>171</v>
      </c>
      <c r="D39" s="12" t="s">
        <v>172</v>
      </c>
      <c r="E39" s="12" t="s">
        <v>61</v>
      </c>
      <c r="F39" s="12" t="s">
        <v>46</v>
      </c>
      <c r="G39" s="12" t="s">
        <v>148</v>
      </c>
      <c r="H39" s="12" t="s">
        <v>173</v>
      </c>
      <c r="I39" s="12" t="s">
        <v>49</v>
      </c>
      <c r="J39" s="12"/>
      <c r="K39" s="13" t="s">
        <v>67</v>
      </c>
    </row>
    <row r="40" customFormat="false" ht="27.75" hidden="false" customHeight="true" outlineLevel="0" collapsed="false">
      <c r="A40" s="12" t="n">
        <v>39</v>
      </c>
      <c r="B40" s="13" t="s">
        <v>62</v>
      </c>
      <c r="C40" s="12" t="s">
        <v>171</v>
      </c>
      <c r="D40" s="12" t="s">
        <v>174</v>
      </c>
      <c r="E40" s="12" t="s">
        <v>61</v>
      </c>
      <c r="F40" s="12" t="s">
        <v>46</v>
      </c>
      <c r="G40" s="12" t="s">
        <v>148</v>
      </c>
      <c r="H40" s="12"/>
      <c r="I40" s="12" t="s">
        <v>49</v>
      </c>
      <c r="J40" s="12"/>
      <c r="K40" s="13" t="s">
        <v>45</v>
      </c>
    </row>
    <row r="41" customFormat="false" ht="27.75" hidden="false" customHeight="true" outlineLevel="0" collapsed="false">
      <c r="A41" s="12" t="n">
        <v>40</v>
      </c>
      <c r="B41" s="13" t="s">
        <v>62</v>
      </c>
      <c r="C41" s="12" t="s">
        <v>175</v>
      </c>
      <c r="D41" s="12" t="s">
        <v>176</v>
      </c>
      <c r="E41" s="12" t="s">
        <v>61</v>
      </c>
      <c r="F41" s="12" t="s">
        <v>46</v>
      </c>
      <c r="G41" s="12" t="s">
        <v>148</v>
      </c>
      <c r="H41" s="12"/>
      <c r="I41" s="12" t="s">
        <v>49</v>
      </c>
      <c r="J41" s="12"/>
      <c r="K41" s="13" t="s">
        <v>45</v>
      </c>
    </row>
    <row r="42" customFormat="false" ht="54.75" hidden="false" customHeight="true" outlineLevel="0" collapsed="false">
      <c r="A42" s="12" t="n">
        <v>41</v>
      </c>
      <c r="B42" s="13" t="s">
        <v>71</v>
      </c>
      <c r="C42" s="12" t="s">
        <v>169</v>
      </c>
      <c r="D42" s="12" t="s">
        <v>177</v>
      </c>
      <c r="E42" s="12" t="s">
        <v>93</v>
      </c>
      <c r="F42" s="12" t="s">
        <v>46</v>
      </c>
      <c r="G42" s="12" t="s">
        <v>148</v>
      </c>
      <c r="H42" s="12" t="s">
        <v>178</v>
      </c>
      <c r="I42" s="12" t="s">
        <v>49</v>
      </c>
      <c r="J42" s="12"/>
      <c r="K42" s="13" t="s">
        <v>67</v>
      </c>
    </row>
    <row r="43" customFormat="false" ht="27.75" hidden="false" customHeight="true" outlineLevel="0" collapsed="false">
      <c r="A43" s="12" t="n">
        <v>42</v>
      </c>
      <c r="B43" s="13" t="s">
        <v>71</v>
      </c>
      <c r="C43" s="12" t="s">
        <v>179</v>
      </c>
      <c r="D43" s="12" t="s">
        <v>180</v>
      </c>
      <c r="E43" s="12" t="s">
        <v>93</v>
      </c>
      <c r="F43" s="12" t="s">
        <v>46</v>
      </c>
      <c r="G43" s="12" t="s">
        <v>148</v>
      </c>
      <c r="H43" s="12" t="s">
        <v>181</v>
      </c>
      <c r="I43" s="12" t="s">
        <v>49</v>
      </c>
      <c r="J43" s="12"/>
      <c r="K43" s="13" t="s">
        <v>163</v>
      </c>
    </row>
    <row r="44" customFormat="false" ht="41.25" hidden="false" customHeight="true" outlineLevel="0" collapsed="false">
      <c r="A44" s="12" t="n">
        <v>43</v>
      </c>
      <c r="B44" s="13" t="s">
        <v>71</v>
      </c>
      <c r="C44" s="12" t="s">
        <v>182</v>
      </c>
      <c r="D44" s="12" t="s">
        <v>183</v>
      </c>
      <c r="E44" s="12" t="s">
        <v>9</v>
      </c>
      <c r="F44" s="12" t="s">
        <v>80</v>
      </c>
      <c r="G44" s="12" t="s">
        <v>148</v>
      </c>
      <c r="H44" s="12" t="s">
        <v>184</v>
      </c>
      <c r="I44" s="12" t="s">
        <v>49</v>
      </c>
      <c r="J44" s="12"/>
      <c r="K44" s="13" t="s">
        <v>67</v>
      </c>
    </row>
    <row r="45" customFormat="false" ht="95.25" hidden="false" customHeight="true" outlineLevel="0" collapsed="false">
      <c r="A45" s="12" t="n">
        <v>44</v>
      </c>
      <c r="B45" s="13" t="s">
        <v>71</v>
      </c>
      <c r="C45" s="12" t="s">
        <v>185</v>
      </c>
      <c r="D45" s="12" t="s">
        <v>186</v>
      </c>
      <c r="E45" s="12" t="s">
        <v>7</v>
      </c>
      <c r="F45" s="12" t="s">
        <v>80</v>
      </c>
      <c r="G45" s="12" t="s">
        <v>148</v>
      </c>
      <c r="H45" s="12" t="s">
        <v>187</v>
      </c>
      <c r="I45" s="12" t="s">
        <v>49</v>
      </c>
      <c r="J45" s="12"/>
      <c r="K45" s="13" t="s">
        <v>67</v>
      </c>
    </row>
    <row r="46" customFormat="false" ht="54.75" hidden="false" customHeight="true" outlineLevel="0" collapsed="false">
      <c r="A46" s="12" t="n">
        <v>45</v>
      </c>
      <c r="B46" s="13" t="s">
        <v>71</v>
      </c>
      <c r="C46" s="12" t="s">
        <v>188</v>
      </c>
      <c r="D46" s="12" t="s">
        <v>189</v>
      </c>
      <c r="E46" s="12" t="s">
        <v>9</v>
      </c>
      <c r="F46" s="12" t="s">
        <v>80</v>
      </c>
      <c r="G46" s="12" t="s">
        <v>148</v>
      </c>
      <c r="H46" s="12" t="s">
        <v>190</v>
      </c>
      <c r="I46" s="12" t="s">
        <v>49</v>
      </c>
      <c r="J46" s="12"/>
      <c r="K46" s="13" t="s">
        <v>67</v>
      </c>
    </row>
    <row r="47" customFormat="false" ht="41.25" hidden="false" customHeight="true" outlineLevel="0" collapsed="false">
      <c r="A47" s="12" t="n">
        <v>46</v>
      </c>
      <c r="B47" s="13" t="s">
        <v>71</v>
      </c>
      <c r="C47" s="12" t="s">
        <v>191</v>
      </c>
      <c r="D47" s="12" t="s">
        <v>192</v>
      </c>
      <c r="E47" s="12" t="s">
        <v>9</v>
      </c>
      <c r="F47" s="12" t="s">
        <v>80</v>
      </c>
      <c r="G47" s="12" t="s">
        <v>148</v>
      </c>
      <c r="H47" s="12" t="s">
        <v>193</v>
      </c>
      <c r="I47" s="12" t="s">
        <v>49</v>
      </c>
      <c r="J47" s="12"/>
      <c r="K47" s="13" t="s">
        <v>67</v>
      </c>
    </row>
    <row r="48" customFormat="false" ht="68.25" hidden="false" customHeight="true" outlineLevel="0" collapsed="false">
      <c r="A48" s="12" t="n">
        <v>47</v>
      </c>
      <c r="B48" s="13" t="s">
        <v>71</v>
      </c>
      <c r="C48" s="12" t="s">
        <v>194</v>
      </c>
      <c r="D48" s="12" t="s">
        <v>195</v>
      </c>
      <c r="E48" s="12" t="s">
        <v>9</v>
      </c>
      <c r="F48" s="12" t="s">
        <v>46</v>
      </c>
      <c r="G48" s="12" t="s">
        <v>148</v>
      </c>
      <c r="H48" s="12" t="s">
        <v>196</v>
      </c>
      <c r="I48" s="12" t="s">
        <v>49</v>
      </c>
      <c r="J48" s="12"/>
      <c r="K48" s="13" t="s">
        <v>67</v>
      </c>
    </row>
    <row r="49" customFormat="false" ht="41.25" hidden="false" customHeight="true" outlineLevel="0" collapsed="false">
      <c r="A49" s="12" t="n">
        <v>48</v>
      </c>
      <c r="B49" s="13" t="s">
        <v>71</v>
      </c>
      <c r="C49" s="12" t="s">
        <v>197</v>
      </c>
      <c r="D49" s="12" t="s">
        <v>198</v>
      </c>
      <c r="E49" s="12" t="s">
        <v>9</v>
      </c>
      <c r="F49" s="12" t="s">
        <v>46</v>
      </c>
      <c r="G49" s="12" t="s">
        <v>148</v>
      </c>
      <c r="H49" s="12" t="s">
        <v>199</v>
      </c>
      <c r="I49" s="12" t="s">
        <v>49</v>
      </c>
      <c r="J49" s="12"/>
      <c r="K49" s="13" t="s">
        <v>67</v>
      </c>
    </row>
    <row r="50" customFormat="false" ht="41.25" hidden="false" customHeight="true" outlineLevel="0" collapsed="false">
      <c r="A50" s="12" t="n">
        <v>49</v>
      </c>
      <c r="B50" s="13" t="s">
        <v>71</v>
      </c>
      <c r="C50" s="12" t="s">
        <v>200</v>
      </c>
      <c r="D50" s="12" t="s">
        <v>201</v>
      </c>
      <c r="E50" s="12" t="s">
        <v>7</v>
      </c>
      <c r="F50" s="12" t="s">
        <v>46</v>
      </c>
      <c r="G50" s="12" t="s">
        <v>148</v>
      </c>
      <c r="H50" s="12" t="s">
        <v>202</v>
      </c>
      <c r="I50" s="12" t="s">
        <v>49</v>
      </c>
      <c r="J50" s="12"/>
      <c r="K50" s="13" t="s">
        <v>67</v>
      </c>
    </row>
    <row r="51" customFormat="false" ht="95.25" hidden="false" customHeight="true" outlineLevel="0" collapsed="false">
      <c r="A51" s="12" t="n">
        <v>50</v>
      </c>
      <c r="B51" s="13" t="s">
        <v>71</v>
      </c>
      <c r="C51" s="12" t="s">
        <v>203</v>
      </c>
      <c r="D51" s="12" t="s">
        <v>204</v>
      </c>
      <c r="E51" s="12" t="s">
        <v>205</v>
      </c>
      <c r="F51" s="12" t="s">
        <v>46</v>
      </c>
      <c r="G51" s="12" t="s">
        <v>148</v>
      </c>
      <c r="H51" s="12" t="s">
        <v>206</v>
      </c>
      <c r="I51" s="12" t="s">
        <v>49</v>
      </c>
      <c r="J51" s="12"/>
      <c r="K51" s="13" t="s">
        <v>67</v>
      </c>
    </row>
    <row r="52" customFormat="false" ht="54.75" hidden="false" customHeight="true" outlineLevel="0" collapsed="false">
      <c r="A52" s="12" t="n">
        <v>51</v>
      </c>
      <c r="B52" s="13" t="s">
        <v>71</v>
      </c>
      <c r="C52" s="12" t="s">
        <v>207</v>
      </c>
      <c r="D52" s="12" t="s">
        <v>208</v>
      </c>
      <c r="E52" s="12" t="s">
        <v>7</v>
      </c>
      <c r="F52" s="12" t="s">
        <v>80</v>
      </c>
      <c r="G52" s="12" t="s">
        <v>148</v>
      </c>
      <c r="H52" s="12" t="s">
        <v>209</v>
      </c>
      <c r="I52" s="12" t="s">
        <v>49</v>
      </c>
      <c r="J52" s="12"/>
      <c r="K52" s="13" t="s">
        <v>67</v>
      </c>
    </row>
    <row r="53" customFormat="false" ht="27.75" hidden="false" customHeight="true" outlineLevel="0" collapsed="false">
      <c r="A53" s="12" t="n">
        <v>52</v>
      </c>
      <c r="B53" s="13" t="s">
        <v>71</v>
      </c>
      <c r="C53" s="12" t="s">
        <v>210</v>
      </c>
      <c r="D53" s="12" t="s">
        <v>211</v>
      </c>
      <c r="E53" s="12" t="s">
        <v>7</v>
      </c>
      <c r="F53" s="12" t="s">
        <v>80</v>
      </c>
      <c r="G53" s="12" t="s">
        <v>148</v>
      </c>
      <c r="H53" s="12" t="s">
        <v>212</v>
      </c>
      <c r="I53" s="12" t="s">
        <v>49</v>
      </c>
      <c r="J53" s="12"/>
      <c r="K53" s="13" t="s">
        <v>67</v>
      </c>
    </row>
    <row r="54" customFormat="false" ht="15" hidden="false" customHeight="true" outlineLevel="0" collapsed="false">
      <c r="A54" s="12" t="n">
        <v>53</v>
      </c>
      <c r="B54" s="13" t="s">
        <v>71</v>
      </c>
      <c r="C54" s="12" t="s">
        <v>213</v>
      </c>
      <c r="D54" s="12" t="s">
        <v>214</v>
      </c>
      <c r="E54" s="12" t="s">
        <v>8</v>
      </c>
      <c r="F54" s="12" t="s">
        <v>46</v>
      </c>
      <c r="G54" s="12" t="s">
        <v>148</v>
      </c>
      <c r="H54" s="12" t="s">
        <v>215</v>
      </c>
      <c r="I54" s="12" t="s">
        <v>49</v>
      </c>
      <c r="J54" s="12"/>
      <c r="K54" s="13" t="s">
        <v>67</v>
      </c>
    </row>
    <row r="55" customFormat="false" ht="15" hidden="false" customHeight="true" outlineLevel="0" collapsed="false">
      <c r="A55" s="12" t="n">
        <v>54</v>
      </c>
      <c r="B55" s="13" t="s">
        <v>71</v>
      </c>
      <c r="C55" s="12" t="s">
        <v>216</v>
      </c>
      <c r="D55" s="12" t="s">
        <v>217</v>
      </c>
      <c r="E55" s="12" t="s">
        <v>10</v>
      </c>
      <c r="F55" s="12" t="s">
        <v>46</v>
      </c>
      <c r="G55" s="12" t="s">
        <v>148</v>
      </c>
      <c r="H55" s="12"/>
      <c r="I55" s="12" t="s">
        <v>49</v>
      </c>
      <c r="J55" s="12"/>
      <c r="K55" s="13" t="s">
        <v>45</v>
      </c>
    </row>
    <row r="56" customFormat="false" ht="27.75" hidden="false" customHeight="true" outlineLevel="0" collapsed="false">
      <c r="A56" s="12" t="n">
        <v>55</v>
      </c>
      <c r="B56" s="13" t="s">
        <v>71</v>
      </c>
      <c r="C56" s="12" t="s">
        <v>218</v>
      </c>
      <c r="D56" s="12" t="s">
        <v>219</v>
      </c>
      <c r="E56" s="12" t="s">
        <v>9</v>
      </c>
      <c r="F56" s="12" t="s">
        <v>46</v>
      </c>
      <c r="G56" s="12" t="s">
        <v>148</v>
      </c>
      <c r="H56" s="12" t="s">
        <v>220</v>
      </c>
      <c r="I56" s="12" t="s">
        <v>49</v>
      </c>
      <c r="J56" s="12"/>
      <c r="K56" s="13" t="s">
        <v>67</v>
      </c>
    </row>
    <row r="57" customFormat="false" ht="54.75" hidden="false" customHeight="true" outlineLevel="0" collapsed="false">
      <c r="A57" s="12" t="n">
        <v>56</v>
      </c>
      <c r="B57" s="13" t="s">
        <v>71</v>
      </c>
      <c r="C57" s="12" t="s">
        <v>221</v>
      </c>
      <c r="D57" s="12" t="s">
        <v>222</v>
      </c>
      <c r="E57" s="12" t="s">
        <v>9</v>
      </c>
      <c r="F57" s="12" t="s">
        <v>46</v>
      </c>
      <c r="G57" s="12" t="s">
        <v>148</v>
      </c>
      <c r="H57" s="12" t="s">
        <v>223</v>
      </c>
      <c r="I57" s="12" t="s">
        <v>49</v>
      </c>
      <c r="J57" s="12"/>
      <c r="K57" s="13" t="s">
        <v>67</v>
      </c>
    </row>
    <row r="58" customFormat="false" ht="27.75" hidden="false" customHeight="true" outlineLevel="0" collapsed="false">
      <c r="A58" s="12" t="n">
        <v>57</v>
      </c>
      <c r="B58" s="13" t="s">
        <v>71</v>
      </c>
      <c r="C58" s="12" t="s">
        <v>224</v>
      </c>
      <c r="D58" s="12" t="s">
        <v>225</v>
      </c>
      <c r="E58" s="12" t="s">
        <v>9</v>
      </c>
      <c r="F58" s="12" t="s">
        <v>80</v>
      </c>
      <c r="G58" s="12" t="s">
        <v>148</v>
      </c>
      <c r="H58" s="12" t="s">
        <v>226</v>
      </c>
      <c r="I58" s="12" t="s">
        <v>49</v>
      </c>
      <c r="J58" s="12"/>
      <c r="K58" s="13" t="s">
        <v>45</v>
      </c>
    </row>
    <row r="59" customFormat="false" ht="41.25" hidden="false" customHeight="true" outlineLevel="0" collapsed="false">
      <c r="A59" s="12" t="n">
        <v>58</v>
      </c>
      <c r="B59" s="13" t="s">
        <v>71</v>
      </c>
      <c r="C59" s="12" t="s">
        <v>227</v>
      </c>
      <c r="D59" s="12" t="s">
        <v>228</v>
      </c>
      <c r="E59" s="12" t="s">
        <v>9</v>
      </c>
      <c r="F59" s="12" t="s">
        <v>46</v>
      </c>
      <c r="G59" s="12" t="s">
        <v>148</v>
      </c>
      <c r="H59" s="12" t="s">
        <v>229</v>
      </c>
      <c r="I59" s="12" t="s">
        <v>49</v>
      </c>
      <c r="J59" s="12"/>
      <c r="K59" s="13" t="s">
        <v>67</v>
      </c>
    </row>
    <row r="60" customFormat="false" ht="81.75" hidden="false" customHeight="true" outlineLevel="0" collapsed="false">
      <c r="A60" s="12" t="n">
        <v>59</v>
      </c>
      <c r="B60" s="13" t="s">
        <v>71</v>
      </c>
      <c r="C60" s="12" t="s">
        <v>230</v>
      </c>
      <c r="D60" s="12" t="s">
        <v>231</v>
      </c>
      <c r="E60" s="12" t="s">
        <v>7</v>
      </c>
      <c r="F60" s="12" t="s">
        <v>46</v>
      </c>
      <c r="G60" s="12" t="s">
        <v>148</v>
      </c>
      <c r="H60" s="12" t="s">
        <v>232</v>
      </c>
      <c r="I60" s="12" t="s">
        <v>49</v>
      </c>
      <c r="J60" s="12"/>
      <c r="K60" s="13" t="s">
        <v>67</v>
      </c>
    </row>
    <row r="61" customFormat="false" ht="108.75" hidden="false" customHeight="true" outlineLevel="0" collapsed="false">
      <c r="A61" s="12" t="n">
        <v>60</v>
      </c>
      <c r="B61" s="13" t="s">
        <v>71</v>
      </c>
      <c r="C61" s="12" t="s">
        <v>233</v>
      </c>
      <c r="D61" s="12" t="s">
        <v>234</v>
      </c>
      <c r="E61" s="12" t="s">
        <v>8</v>
      </c>
      <c r="F61" s="12" t="s">
        <v>46</v>
      </c>
      <c r="G61" s="12" t="s">
        <v>148</v>
      </c>
      <c r="H61" s="12" t="s">
        <v>235</v>
      </c>
      <c r="I61" s="12" t="s">
        <v>49</v>
      </c>
      <c r="J61" s="12"/>
      <c r="K61" s="13" t="s">
        <v>67</v>
      </c>
    </row>
    <row r="62" customFormat="false" ht="41.25" hidden="false" customHeight="true" outlineLevel="0" collapsed="false">
      <c r="A62" s="12" t="n">
        <v>61</v>
      </c>
      <c r="B62" s="13" t="s">
        <v>71</v>
      </c>
      <c r="C62" s="12" t="s">
        <v>236</v>
      </c>
      <c r="D62" s="12" t="s">
        <v>237</v>
      </c>
      <c r="E62" s="12" t="s">
        <v>7</v>
      </c>
      <c r="F62" s="12" t="s">
        <v>80</v>
      </c>
      <c r="G62" s="12" t="s">
        <v>148</v>
      </c>
      <c r="H62" s="12" t="s">
        <v>238</v>
      </c>
      <c r="I62" s="14" t="s">
        <v>143</v>
      </c>
      <c r="J62" s="12"/>
      <c r="K62" s="13" t="s">
        <v>67</v>
      </c>
    </row>
    <row r="63" customFormat="false" ht="54.75" hidden="false" customHeight="true" outlineLevel="0" collapsed="false">
      <c r="A63" s="12" t="n">
        <v>62</v>
      </c>
      <c r="B63" s="13" t="s">
        <v>71</v>
      </c>
      <c r="C63" s="12" t="s">
        <v>239</v>
      </c>
      <c r="D63" s="12" t="s">
        <v>240</v>
      </c>
      <c r="E63" s="12" t="s">
        <v>7</v>
      </c>
      <c r="F63" s="12" t="s">
        <v>80</v>
      </c>
      <c r="G63" s="12" t="s">
        <v>148</v>
      </c>
      <c r="H63" s="12" t="s">
        <v>241</v>
      </c>
      <c r="I63" s="12" t="s">
        <v>49</v>
      </c>
      <c r="J63" s="12"/>
      <c r="K63" s="13" t="s">
        <v>67</v>
      </c>
    </row>
    <row r="64" customFormat="false" ht="108.75" hidden="false" customHeight="true" outlineLevel="0" collapsed="false">
      <c r="A64" s="12" t="n">
        <v>63</v>
      </c>
      <c r="B64" s="13" t="s">
        <v>71</v>
      </c>
      <c r="C64" s="12" t="s">
        <v>242</v>
      </c>
      <c r="D64" s="12" t="s">
        <v>243</v>
      </c>
      <c r="E64" s="12" t="s">
        <v>9</v>
      </c>
      <c r="F64" s="12" t="s">
        <v>46</v>
      </c>
      <c r="G64" s="12" t="s">
        <v>148</v>
      </c>
      <c r="H64" s="12" t="s">
        <v>244</v>
      </c>
      <c r="I64" s="12" t="s">
        <v>49</v>
      </c>
      <c r="J64" s="12"/>
      <c r="K64" s="13" t="s">
        <v>67</v>
      </c>
    </row>
    <row r="65" customFormat="false" ht="41.25" hidden="false" customHeight="true" outlineLevel="0" collapsed="false">
      <c r="A65" s="12" t="n">
        <v>64</v>
      </c>
      <c r="B65" s="13" t="s">
        <v>71</v>
      </c>
      <c r="C65" s="12" t="s">
        <v>245</v>
      </c>
      <c r="D65" s="12" t="s">
        <v>246</v>
      </c>
      <c r="E65" s="12" t="s">
        <v>67</v>
      </c>
      <c r="F65" s="12" t="s">
        <v>46</v>
      </c>
      <c r="G65" s="12" t="s">
        <v>148</v>
      </c>
      <c r="H65" s="12" t="s">
        <v>247</v>
      </c>
      <c r="I65" s="12" t="s">
        <v>49</v>
      </c>
      <c r="J65" s="12"/>
      <c r="K65" s="13" t="s">
        <v>67</v>
      </c>
    </row>
    <row r="66" customFormat="false" ht="27.75" hidden="false" customHeight="true" outlineLevel="0" collapsed="false">
      <c r="A66" s="12" t="n">
        <v>65</v>
      </c>
      <c r="B66" s="13" t="s">
        <v>71</v>
      </c>
      <c r="C66" s="12" t="s">
        <v>248</v>
      </c>
      <c r="D66" s="12" t="s">
        <v>249</v>
      </c>
      <c r="E66" s="12" t="s">
        <v>67</v>
      </c>
      <c r="F66" s="12" t="s">
        <v>46</v>
      </c>
      <c r="G66" s="12" t="s">
        <v>148</v>
      </c>
      <c r="H66" s="12" t="s">
        <v>250</v>
      </c>
      <c r="I66" s="12" t="s">
        <v>49</v>
      </c>
      <c r="J66" s="12"/>
      <c r="K66" s="13" t="s">
        <v>67</v>
      </c>
    </row>
    <row r="67" customFormat="false" ht="41.25" hidden="false" customHeight="true" outlineLevel="0" collapsed="false">
      <c r="A67" s="12" t="n">
        <v>66</v>
      </c>
      <c r="B67" s="13" t="s">
        <v>71</v>
      </c>
      <c r="C67" s="12" t="s">
        <v>251</v>
      </c>
      <c r="D67" s="12" t="s">
        <v>252</v>
      </c>
      <c r="E67" s="12" t="s">
        <v>67</v>
      </c>
      <c r="F67" s="12" t="s">
        <v>80</v>
      </c>
      <c r="G67" s="12" t="s">
        <v>148</v>
      </c>
      <c r="H67" s="12" t="s">
        <v>253</v>
      </c>
      <c r="I67" s="12" t="s">
        <v>49</v>
      </c>
      <c r="J67" s="12"/>
      <c r="K67" s="13" t="s">
        <v>67</v>
      </c>
    </row>
    <row r="68" customFormat="false" ht="54.75" hidden="false" customHeight="true" outlineLevel="0" collapsed="false">
      <c r="A68" s="12" t="n">
        <v>67</v>
      </c>
      <c r="B68" s="13" t="s">
        <v>71</v>
      </c>
      <c r="C68" s="12" t="s">
        <v>254</v>
      </c>
      <c r="D68" s="12" t="s">
        <v>255</v>
      </c>
      <c r="E68" s="12" t="s">
        <v>121</v>
      </c>
      <c r="F68" s="12" t="s">
        <v>46</v>
      </c>
      <c r="G68" s="12" t="s">
        <v>148</v>
      </c>
      <c r="H68" s="12" t="s">
        <v>256</v>
      </c>
      <c r="I68" s="12" t="s">
        <v>49</v>
      </c>
      <c r="J68" s="12"/>
      <c r="K68" s="13" t="s">
        <v>67</v>
      </c>
    </row>
    <row r="69" customFormat="false" ht="27.75" hidden="false" customHeight="true" outlineLevel="0" collapsed="false">
      <c r="A69" s="12" t="n">
        <v>68</v>
      </c>
      <c r="B69" s="13" t="s">
        <v>71</v>
      </c>
      <c r="C69" s="12" t="s">
        <v>257</v>
      </c>
      <c r="D69" s="12" t="s">
        <v>258</v>
      </c>
      <c r="E69" s="12" t="s">
        <v>121</v>
      </c>
      <c r="F69" s="12" t="s">
        <v>46</v>
      </c>
      <c r="G69" s="12" t="s">
        <v>148</v>
      </c>
      <c r="H69" s="12" t="s">
        <v>259</v>
      </c>
      <c r="I69" s="12" t="s">
        <v>49</v>
      </c>
      <c r="J69" s="12"/>
      <c r="K69" s="13" t="s">
        <v>67</v>
      </c>
    </row>
    <row r="70" customFormat="false" ht="68.25" hidden="false" customHeight="true" outlineLevel="0" collapsed="false">
      <c r="A70" s="12" t="n">
        <v>69</v>
      </c>
      <c r="B70" s="13" t="s">
        <v>71</v>
      </c>
      <c r="C70" s="12" t="s">
        <v>260</v>
      </c>
      <c r="D70" s="12" t="s">
        <v>261</v>
      </c>
      <c r="E70" s="12" t="s">
        <v>121</v>
      </c>
      <c r="F70" s="12" t="s">
        <v>46</v>
      </c>
      <c r="G70" s="12" t="s">
        <v>148</v>
      </c>
      <c r="H70" s="12" t="s">
        <v>262</v>
      </c>
      <c r="I70" s="12" t="s">
        <v>49</v>
      </c>
      <c r="J70" s="12"/>
      <c r="K70" s="13" t="s">
        <v>67</v>
      </c>
    </row>
    <row r="71" customFormat="false" ht="27.75" hidden="false" customHeight="true" outlineLevel="0" collapsed="false">
      <c r="A71" s="12" t="n">
        <v>70</v>
      </c>
      <c r="B71" s="13" t="s">
        <v>71</v>
      </c>
      <c r="C71" s="12" t="s">
        <v>263</v>
      </c>
      <c r="D71" s="12" t="s">
        <v>264</v>
      </c>
      <c r="E71" s="12" t="s">
        <v>121</v>
      </c>
      <c r="F71" s="12" t="s">
        <v>46</v>
      </c>
      <c r="G71" s="12" t="s">
        <v>148</v>
      </c>
      <c r="H71" s="12" t="s">
        <v>265</v>
      </c>
      <c r="I71" s="12" t="s">
        <v>49</v>
      </c>
      <c r="J71" s="12"/>
      <c r="K71" s="13" t="s">
        <v>67</v>
      </c>
    </row>
    <row r="72" customFormat="false" ht="27.75" hidden="false" customHeight="true" outlineLevel="0" collapsed="false">
      <c r="A72" s="12" t="n">
        <v>71</v>
      </c>
      <c r="B72" s="13" t="s">
        <v>71</v>
      </c>
      <c r="C72" s="12" t="s">
        <v>266</v>
      </c>
      <c r="D72" s="12" t="s">
        <v>267</v>
      </c>
      <c r="E72" s="12" t="s">
        <v>121</v>
      </c>
      <c r="F72" s="12" t="s">
        <v>46</v>
      </c>
      <c r="G72" s="12" t="s">
        <v>148</v>
      </c>
      <c r="H72" s="12" t="s">
        <v>268</v>
      </c>
      <c r="I72" s="12" t="s">
        <v>49</v>
      </c>
      <c r="J72" s="12"/>
      <c r="K72" s="13" t="s">
        <v>67</v>
      </c>
    </row>
    <row r="73" customFormat="false" ht="27.75" hidden="false" customHeight="true" outlineLevel="0" collapsed="false">
      <c r="A73" s="12" t="n">
        <v>72</v>
      </c>
      <c r="B73" s="13" t="s">
        <v>71</v>
      </c>
      <c r="C73" s="12" t="s">
        <v>269</v>
      </c>
      <c r="D73" s="12" t="s">
        <v>270</v>
      </c>
      <c r="E73" s="12" t="s">
        <v>121</v>
      </c>
      <c r="F73" s="12" t="s">
        <v>46</v>
      </c>
      <c r="G73" s="12" t="s">
        <v>148</v>
      </c>
      <c r="H73" s="12" t="s">
        <v>271</v>
      </c>
      <c r="I73" s="12" t="s">
        <v>49</v>
      </c>
      <c r="J73" s="12"/>
      <c r="K73" s="13" t="s">
        <v>67</v>
      </c>
    </row>
    <row r="74" customFormat="false" ht="54.75" hidden="false" customHeight="true" outlineLevel="0" collapsed="false">
      <c r="A74" s="12" t="n">
        <v>73</v>
      </c>
      <c r="B74" s="13" t="s">
        <v>71</v>
      </c>
      <c r="C74" s="12" t="s">
        <v>167</v>
      </c>
      <c r="D74" s="12" t="s">
        <v>272</v>
      </c>
      <c r="E74" s="12" t="s">
        <v>121</v>
      </c>
      <c r="F74" s="12" t="s">
        <v>80</v>
      </c>
      <c r="G74" s="12" t="s">
        <v>148</v>
      </c>
      <c r="H74" s="12" t="s">
        <v>273</v>
      </c>
      <c r="I74" s="12" t="s">
        <v>49</v>
      </c>
      <c r="J74" s="12"/>
      <c r="K74" s="13" t="s">
        <v>67</v>
      </c>
    </row>
    <row r="75" customFormat="false" ht="135.75" hidden="false" customHeight="true" outlineLevel="0" collapsed="false">
      <c r="A75" s="12" t="n">
        <v>74</v>
      </c>
      <c r="B75" s="13" t="s">
        <v>71</v>
      </c>
      <c r="C75" s="12" t="s">
        <v>274</v>
      </c>
      <c r="D75" s="12" t="s">
        <v>275</v>
      </c>
      <c r="E75" s="12" t="s">
        <v>9</v>
      </c>
      <c r="F75" s="12" t="s">
        <v>46</v>
      </c>
      <c r="G75" s="12" t="s">
        <v>148</v>
      </c>
      <c r="H75" s="12" t="s">
        <v>276</v>
      </c>
      <c r="I75" s="12" t="s">
        <v>49</v>
      </c>
      <c r="J75" s="12"/>
      <c r="K75" s="13" t="s">
        <v>67</v>
      </c>
    </row>
    <row r="76" customFormat="false" ht="41.25" hidden="false" customHeight="true" outlineLevel="0" collapsed="false">
      <c r="A76" s="12" t="n">
        <v>75</v>
      </c>
      <c r="B76" s="13" t="s">
        <v>71</v>
      </c>
      <c r="C76" s="12" t="s">
        <v>277</v>
      </c>
      <c r="D76" s="12" t="s">
        <v>278</v>
      </c>
      <c r="E76" s="12" t="s">
        <v>121</v>
      </c>
      <c r="F76" s="12" t="s">
        <v>46</v>
      </c>
      <c r="G76" s="12" t="s">
        <v>148</v>
      </c>
      <c r="H76" s="12" t="s">
        <v>279</v>
      </c>
      <c r="I76" s="12" t="s">
        <v>49</v>
      </c>
      <c r="J76" s="12"/>
      <c r="K76" s="13" t="s">
        <v>67</v>
      </c>
    </row>
    <row r="77" customFormat="false" ht="81.75" hidden="false" customHeight="true" outlineLevel="0" collapsed="false">
      <c r="A77" s="12" t="n">
        <v>76</v>
      </c>
      <c r="B77" s="13" t="s">
        <v>71</v>
      </c>
      <c r="C77" s="12" t="s">
        <v>280</v>
      </c>
      <c r="D77" s="12" t="s">
        <v>281</v>
      </c>
      <c r="E77" s="12" t="s">
        <v>121</v>
      </c>
      <c r="F77" s="12" t="s">
        <v>46</v>
      </c>
      <c r="G77" s="12" t="s">
        <v>148</v>
      </c>
      <c r="H77" s="12" t="s">
        <v>282</v>
      </c>
      <c r="I77" s="14" t="s">
        <v>143</v>
      </c>
      <c r="J77" s="12"/>
      <c r="K77" s="13" t="s">
        <v>67</v>
      </c>
    </row>
    <row r="78" customFormat="false" ht="41.25" hidden="false" customHeight="true" outlineLevel="0" collapsed="false">
      <c r="A78" s="12" t="n">
        <v>77</v>
      </c>
      <c r="B78" s="13" t="s">
        <v>71</v>
      </c>
      <c r="C78" s="12" t="s">
        <v>283</v>
      </c>
      <c r="D78" s="12" t="s">
        <v>284</v>
      </c>
      <c r="E78" s="12" t="s">
        <v>121</v>
      </c>
      <c r="F78" s="12" t="s">
        <v>46</v>
      </c>
      <c r="G78" s="12" t="s">
        <v>148</v>
      </c>
      <c r="H78" s="12" t="s">
        <v>285</v>
      </c>
      <c r="I78" s="12" t="s">
        <v>49</v>
      </c>
      <c r="J78" s="12"/>
      <c r="K78" s="13" t="s">
        <v>67</v>
      </c>
    </row>
    <row r="79" customFormat="false" ht="122.25" hidden="false" customHeight="true" outlineLevel="0" collapsed="false">
      <c r="A79" s="12" t="n">
        <v>78</v>
      </c>
      <c r="B79" s="13" t="s">
        <v>71</v>
      </c>
      <c r="C79" s="12" t="s">
        <v>286</v>
      </c>
      <c r="D79" s="12" t="s">
        <v>287</v>
      </c>
      <c r="E79" s="12" t="s">
        <v>45</v>
      </c>
      <c r="F79" s="12" t="s">
        <v>46</v>
      </c>
      <c r="G79" s="12" t="s">
        <v>148</v>
      </c>
      <c r="H79" s="12" t="s">
        <v>288</v>
      </c>
      <c r="I79" s="12" t="s">
        <v>49</v>
      </c>
      <c r="J79" s="12"/>
      <c r="K79" s="13" t="s">
        <v>163</v>
      </c>
    </row>
    <row r="80" customFormat="false" ht="68.25" hidden="false" customHeight="true" outlineLevel="0" collapsed="false">
      <c r="A80" s="12" t="n">
        <v>79</v>
      </c>
      <c r="B80" s="13" t="s">
        <v>71</v>
      </c>
      <c r="C80" s="12" t="s">
        <v>289</v>
      </c>
      <c r="D80" s="12" t="s">
        <v>290</v>
      </c>
      <c r="E80" s="12" t="s">
        <v>61</v>
      </c>
      <c r="F80" s="12" t="s">
        <v>46</v>
      </c>
      <c r="G80" s="12" t="s">
        <v>148</v>
      </c>
      <c r="H80" s="12" t="s">
        <v>291</v>
      </c>
      <c r="I80" s="12" t="s">
        <v>49</v>
      </c>
      <c r="J80" s="12"/>
      <c r="K80" s="13" t="s">
        <v>67</v>
      </c>
    </row>
    <row r="81" customFormat="false" ht="27.75" hidden="false" customHeight="true" outlineLevel="0" collapsed="false">
      <c r="A81" s="12" t="n">
        <v>80</v>
      </c>
      <c r="B81" s="13" t="s">
        <v>71</v>
      </c>
      <c r="C81" s="12" t="s">
        <v>292</v>
      </c>
      <c r="D81" s="12" t="s">
        <v>293</v>
      </c>
      <c r="E81" s="12" t="s">
        <v>61</v>
      </c>
      <c r="F81" s="12" t="s">
        <v>46</v>
      </c>
      <c r="G81" s="12" t="s">
        <v>148</v>
      </c>
      <c r="H81" s="12" t="s">
        <v>294</v>
      </c>
      <c r="I81" s="12" t="s">
        <v>49</v>
      </c>
      <c r="J81" s="12"/>
      <c r="K81" s="13" t="s">
        <v>67</v>
      </c>
    </row>
    <row r="82" customFormat="false" ht="27.75" hidden="false" customHeight="true" outlineLevel="0" collapsed="false">
      <c r="A82" s="12" t="n">
        <v>81</v>
      </c>
      <c r="B82" s="13" t="s">
        <v>71</v>
      </c>
      <c r="C82" s="12" t="s">
        <v>295</v>
      </c>
      <c r="D82" s="12" t="s">
        <v>296</v>
      </c>
      <c r="E82" s="12" t="s">
        <v>61</v>
      </c>
      <c r="F82" s="12" t="s">
        <v>46</v>
      </c>
      <c r="G82" s="12" t="s">
        <v>148</v>
      </c>
      <c r="H82" s="12" t="s">
        <v>297</v>
      </c>
      <c r="I82" s="12" t="s">
        <v>49</v>
      </c>
      <c r="J82" s="12"/>
      <c r="K82" s="13" t="s">
        <v>67</v>
      </c>
    </row>
    <row r="83" customFormat="false" ht="27.75" hidden="false" customHeight="true" outlineLevel="0" collapsed="false">
      <c r="A83" s="12" t="n">
        <v>82</v>
      </c>
      <c r="B83" s="13" t="s">
        <v>16</v>
      </c>
      <c r="C83" s="12" t="s">
        <v>298</v>
      </c>
      <c r="D83" s="12" t="s">
        <v>299</v>
      </c>
      <c r="E83" s="12" t="s">
        <v>61</v>
      </c>
      <c r="F83" s="12" t="s">
        <v>46</v>
      </c>
      <c r="G83" s="12" t="s">
        <v>148</v>
      </c>
      <c r="H83" s="12" t="s">
        <v>300</v>
      </c>
      <c r="I83" s="12" t="s">
        <v>132</v>
      </c>
      <c r="J83" s="12"/>
      <c r="K83" s="13" t="s">
        <v>67</v>
      </c>
    </row>
    <row r="84" customFormat="false" ht="41.25" hidden="false" customHeight="true" outlineLevel="0" collapsed="false">
      <c r="A84" s="12" t="n">
        <v>83</v>
      </c>
      <c r="B84" s="13" t="s">
        <v>139</v>
      </c>
      <c r="C84" s="12" t="s">
        <v>301</v>
      </c>
      <c r="D84" s="12" t="s">
        <v>302</v>
      </c>
      <c r="E84" s="12" t="s">
        <v>303</v>
      </c>
      <c r="F84" s="12" t="s">
        <v>46</v>
      </c>
      <c r="G84" s="12" t="s">
        <v>148</v>
      </c>
      <c r="H84" s="12" t="s">
        <v>304</v>
      </c>
      <c r="I84" s="12" t="s">
        <v>132</v>
      </c>
      <c r="J84" s="12"/>
      <c r="K84" s="13" t="s">
        <v>45</v>
      </c>
    </row>
    <row r="85" customFormat="false" ht="68.25" hidden="false" customHeight="true" outlineLevel="0" collapsed="false">
      <c r="A85" s="12" t="n">
        <v>84</v>
      </c>
      <c r="B85" s="13" t="s">
        <v>139</v>
      </c>
      <c r="C85" s="12" t="s">
        <v>305</v>
      </c>
      <c r="D85" s="12" t="s">
        <v>306</v>
      </c>
      <c r="E85" s="12" t="s">
        <v>121</v>
      </c>
      <c r="F85" s="12" t="s">
        <v>46</v>
      </c>
      <c r="G85" s="12" t="s">
        <v>148</v>
      </c>
      <c r="H85" s="12" t="s">
        <v>307</v>
      </c>
      <c r="I85" s="12" t="s">
        <v>132</v>
      </c>
      <c r="J85" s="12"/>
      <c r="K85" s="13" t="s">
        <v>67</v>
      </c>
    </row>
    <row r="86" customFormat="false" ht="54.75" hidden="false" customHeight="true" outlineLevel="0" collapsed="false">
      <c r="A86" s="12" t="n">
        <v>85</v>
      </c>
      <c r="B86" s="13" t="s">
        <v>139</v>
      </c>
      <c r="C86" s="12" t="s">
        <v>308</v>
      </c>
      <c r="D86" s="12" t="s">
        <v>309</v>
      </c>
      <c r="E86" s="12" t="s">
        <v>303</v>
      </c>
      <c r="F86" s="12" t="s">
        <v>169</v>
      </c>
      <c r="G86" s="12" t="s">
        <v>148</v>
      </c>
      <c r="H86" s="12" t="s">
        <v>310</v>
      </c>
      <c r="I86" s="12" t="s">
        <v>132</v>
      </c>
      <c r="J86" s="12"/>
      <c r="K86" s="13" t="s">
        <v>45</v>
      </c>
    </row>
    <row r="87" customFormat="false" ht="27.75" hidden="false" customHeight="true" outlineLevel="0" collapsed="false">
      <c r="A87" s="12" t="n">
        <v>86</v>
      </c>
      <c r="B87" s="13" t="s">
        <v>139</v>
      </c>
      <c r="C87" s="12" t="s">
        <v>311</v>
      </c>
      <c r="D87" s="12" t="s">
        <v>312</v>
      </c>
      <c r="E87" s="12" t="s">
        <v>313</v>
      </c>
      <c r="F87" s="12" t="s">
        <v>46</v>
      </c>
      <c r="G87" s="12" t="s">
        <v>148</v>
      </c>
      <c r="H87" s="12" t="s">
        <v>314</v>
      </c>
      <c r="I87" s="12" t="s">
        <v>132</v>
      </c>
      <c r="J87" s="12"/>
      <c r="K87" s="13" t="s">
        <v>45</v>
      </c>
    </row>
    <row r="88" customFormat="false" ht="27.75" hidden="false" customHeight="true" outlineLevel="0" collapsed="false">
      <c r="A88" s="12" t="n">
        <v>87</v>
      </c>
      <c r="B88" s="13" t="s">
        <v>139</v>
      </c>
      <c r="C88" s="12" t="s">
        <v>315</v>
      </c>
      <c r="D88" s="12" t="s">
        <v>316</v>
      </c>
      <c r="E88" s="12" t="s">
        <v>313</v>
      </c>
      <c r="F88" s="12" t="s">
        <v>46</v>
      </c>
      <c r="G88" s="12" t="s">
        <v>148</v>
      </c>
      <c r="H88" s="12" t="s">
        <v>314</v>
      </c>
      <c r="I88" s="14" t="s">
        <v>143</v>
      </c>
      <c r="J88" s="12"/>
      <c r="K88" s="13" t="s">
        <v>45</v>
      </c>
    </row>
    <row r="89" customFormat="false" ht="41.25" hidden="false" customHeight="true" outlineLevel="0" collapsed="false">
      <c r="A89" s="12" t="n">
        <v>88</v>
      </c>
      <c r="B89" s="13" t="s">
        <v>139</v>
      </c>
      <c r="C89" s="12" t="s">
        <v>317</v>
      </c>
      <c r="D89" s="12" t="s">
        <v>318</v>
      </c>
      <c r="E89" s="12" t="s">
        <v>313</v>
      </c>
      <c r="F89" s="12" t="s">
        <v>46</v>
      </c>
      <c r="G89" s="12" t="s">
        <v>148</v>
      </c>
      <c r="H89" s="12" t="s">
        <v>314</v>
      </c>
      <c r="I89" s="14" t="s">
        <v>143</v>
      </c>
      <c r="J89" s="12"/>
      <c r="K89" s="13" t="s">
        <v>45</v>
      </c>
    </row>
    <row r="90" customFormat="false" ht="27.75" hidden="false" customHeight="true" outlineLevel="0" collapsed="false">
      <c r="A90" s="12" t="n">
        <v>89</v>
      </c>
      <c r="B90" s="13" t="s">
        <v>139</v>
      </c>
      <c r="C90" s="12" t="s">
        <v>319</v>
      </c>
      <c r="D90" s="12" t="s">
        <v>320</v>
      </c>
      <c r="E90" s="12" t="s">
        <v>313</v>
      </c>
      <c r="F90" s="12" t="s">
        <v>46</v>
      </c>
      <c r="G90" s="12" t="s">
        <v>148</v>
      </c>
      <c r="H90" s="12" t="s">
        <v>314</v>
      </c>
      <c r="I90" s="12" t="s">
        <v>132</v>
      </c>
      <c r="J90" s="12"/>
      <c r="K90" s="13" t="s">
        <v>45</v>
      </c>
    </row>
    <row r="91" customFormat="false" ht="27.75" hidden="false" customHeight="true" outlineLevel="0" collapsed="false">
      <c r="A91" s="12" t="n">
        <v>90</v>
      </c>
      <c r="B91" s="13" t="s">
        <v>139</v>
      </c>
      <c r="C91" s="12" t="s">
        <v>321</v>
      </c>
      <c r="D91" s="12" t="s">
        <v>322</v>
      </c>
      <c r="E91" s="12" t="s">
        <v>313</v>
      </c>
      <c r="F91" s="12" t="s">
        <v>46</v>
      </c>
      <c r="G91" s="12" t="s">
        <v>148</v>
      </c>
      <c r="H91" s="12" t="s">
        <v>314</v>
      </c>
      <c r="I91" s="12" t="s">
        <v>132</v>
      </c>
      <c r="J91" s="12"/>
      <c r="K91" s="13" t="s">
        <v>45</v>
      </c>
    </row>
    <row r="92" customFormat="false" ht="27.75" hidden="false" customHeight="true" outlineLevel="0" collapsed="false">
      <c r="A92" s="12" t="n">
        <v>91</v>
      </c>
      <c r="B92" s="13" t="s">
        <v>139</v>
      </c>
      <c r="C92" s="12" t="s">
        <v>323</v>
      </c>
      <c r="D92" s="12" t="s">
        <v>324</v>
      </c>
      <c r="E92" s="12" t="s">
        <v>313</v>
      </c>
      <c r="F92" s="12" t="s">
        <v>46</v>
      </c>
      <c r="G92" s="12" t="s">
        <v>148</v>
      </c>
      <c r="H92" s="12" t="s">
        <v>314</v>
      </c>
      <c r="I92" s="14" t="s">
        <v>143</v>
      </c>
      <c r="J92" s="12"/>
      <c r="K92" s="13" t="s">
        <v>45</v>
      </c>
    </row>
    <row r="93" customFormat="false" ht="27.75" hidden="false" customHeight="true" outlineLevel="0" collapsed="false">
      <c r="A93" s="12" t="n">
        <v>92</v>
      </c>
      <c r="B93" s="13" t="s">
        <v>139</v>
      </c>
      <c r="C93" s="12" t="s">
        <v>325</v>
      </c>
      <c r="D93" s="12" t="s">
        <v>326</v>
      </c>
      <c r="E93" s="12" t="s">
        <v>313</v>
      </c>
      <c r="F93" s="12" t="s">
        <v>46</v>
      </c>
      <c r="G93" s="12" t="s">
        <v>148</v>
      </c>
      <c r="H93" s="12" t="s">
        <v>314</v>
      </c>
      <c r="I93" s="14" t="s">
        <v>143</v>
      </c>
      <c r="J93" s="12"/>
      <c r="K93" s="13" t="s">
        <v>45</v>
      </c>
    </row>
    <row r="94" customFormat="false" ht="27.75" hidden="false" customHeight="true" outlineLevel="0" collapsed="false">
      <c r="A94" s="12" t="n">
        <v>93</v>
      </c>
      <c r="B94" s="13" t="s">
        <v>139</v>
      </c>
      <c r="C94" s="12" t="s">
        <v>327</v>
      </c>
      <c r="D94" s="12" t="s">
        <v>328</v>
      </c>
      <c r="E94" s="12" t="s">
        <v>313</v>
      </c>
      <c r="F94" s="12" t="s">
        <v>46</v>
      </c>
      <c r="G94" s="12" t="s">
        <v>148</v>
      </c>
      <c r="H94" s="12" t="s">
        <v>314</v>
      </c>
      <c r="I94" s="12" t="s">
        <v>132</v>
      </c>
      <c r="J94" s="12"/>
      <c r="K94" s="13" t="s">
        <v>45</v>
      </c>
    </row>
    <row r="95" customFormat="false" ht="15" hidden="false" customHeight="true" outlineLevel="0" collapsed="false">
      <c r="A95" s="12" t="n">
        <v>94</v>
      </c>
      <c r="B95" s="13" t="s">
        <v>139</v>
      </c>
      <c r="C95" s="12" t="s">
        <v>329</v>
      </c>
      <c r="D95" s="12" t="s">
        <v>330</v>
      </c>
      <c r="E95" s="12" t="s">
        <v>313</v>
      </c>
      <c r="F95" s="12" t="s">
        <v>46</v>
      </c>
      <c r="G95" s="12" t="s">
        <v>148</v>
      </c>
      <c r="H95" s="12" t="s">
        <v>314</v>
      </c>
      <c r="I95" s="12" t="s">
        <v>132</v>
      </c>
      <c r="J95" s="12"/>
      <c r="K95" s="13" t="s">
        <v>45</v>
      </c>
    </row>
    <row r="96" customFormat="false" ht="15" hidden="false" customHeight="true" outlineLevel="0" collapsed="false">
      <c r="A96" s="12" t="n">
        <v>95</v>
      </c>
      <c r="B96" s="13" t="s">
        <v>139</v>
      </c>
      <c r="C96" s="12" t="s">
        <v>331</v>
      </c>
      <c r="D96" s="12" t="s">
        <v>332</v>
      </c>
      <c r="E96" s="12" t="s">
        <v>313</v>
      </c>
      <c r="F96" s="12" t="s">
        <v>46</v>
      </c>
      <c r="G96" s="12" t="s">
        <v>148</v>
      </c>
      <c r="H96" s="12" t="s">
        <v>314</v>
      </c>
      <c r="I96" s="12" t="s">
        <v>132</v>
      </c>
      <c r="J96" s="12"/>
      <c r="K96" s="13" t="s">
        <v>45</v>
      </c>
    </row>
    <row r="97" customFormat="false" ht="27.75" hidden="false" customHeight="true" outlineLevel="0" collapsed="false">
      <c r="A97" s="12" t="n">
        <v>96</v>
      </c>
      <c r="B97" s="13" t="s">
        <v>139</v>
      </c>
      <c r="C97" s="12" t="s">
        <v>333</v>
      </c>
      <c r="D97" s="12" t="s">
        <v>334</v>
      </c>
      <c r="E97" s="12" t="s">
        <v>313</v>
      </c>
      <c r="F97" s="12" t="s">
        <v>46</v>
      </c>
      <c r="G97" s="12" t="s">
        <v>148</v>
      </c>
      <c r="H97" s="12" t="s">
        <v>314</v>
      </c>
      <c r="I97" s="12" t="s">
        <v>132</v>
      </c>
      <c r="J97" s="12"/>
      <c r="K97" s="13" t="s">
        <v>45</v>
      </c>
    </row>
    <row r="98" customFormat="false" ht="15" hidden="false" customHeight="true" outlineLevel="0" collapsed="false">
      <c r="A98" s="12" t="n">
        <v>97</v>
      </c>
      <c r="B98" s="13" t="s">
        <v>139</v>
      </c>
      <c r="C98" s="12" t="s">
        <v>335</v>
      </c>
      <c r="D98" s="12" t="s">
        <v>336</v>
      </c>
      <c r="E98" s="12" t="s">
        <v>313</v>
      </c>
      <c r="F98" s="12" t="s">
        <v>46</v>
      </c>
      <c r="G98" s="12" t="s">
        <v>148</v>
      </c>
      <c r="H98" s="12" t="s">
        <v>314</v>
      </c>
      <c r="I98" s="12" t="s">
        <v>132</v>
      </c>
      <c r="J98" s="12"/>
      <c r="K98" s="13" t="s">
        <v>45</v>
      </c>
    </row>
    <row r="99" customFormat="false" ht="27.75" hidden="false" customHeight="true" outlineLevel="0" collapsed="false">
      <c r="A99" s="12" t="n">
        <v>98</v>
      </c>
      <c r="B99" s="13" t="s">
        <v>139</v>
      </c>
      <c r="C99" s="12" t="s">
        <v>337</v>
      </c>
      <c r="D99" s="12" t="s">
        <v>338</v>
      </c>
      <c r="E99" s="12" t="s">
        <v>313</v>
      </c>
      <c r="F99" s="12" t="s">
        <v>46</v>
      </c>
      <c r="G99" s="12" t="s">
        <v>148</v>
      </c>
      <c r="H99" s="12" t="s">
        <v>314</v>
      </c>
      <c r="I99" s="12" t="s">
        <v>132</v>
      </c>
      <c r="J99" s="12"/>
      <c r="K99" s="13" t="s">
        <v>45</v>
      </c>
    </row>
    <row r="100" customFormat="false" ht="27.75" hidden="false" customHeight="true" outlineLevel="0" collapsed="false">
      <c r="A100" s="12" t="n">
        <v>99</v>
      </c>
      <c r="B100" s="13" t="s">
        <v>139</v>
      </c>
      <c r="C100" s="12" t="s">
        <v>339</v>
      </c>
      <c r="D100" s="12" t="s">
        <v>340</v>
      </c>
      <c r="E100" s="12" t="s">
        <v>313</v>
      </c>
      <c r="F100" s="12" t="s">
        <v>46</v>
      </c>
      <c r="G100" s="12" t="s">
        <v>148</v>
      </c>
      <c r="H100" s="12" t="s">
        <v>314</v>
      </c>
      <c r="I100" s="12" t="s">
        <v>132</v>
      </c>
      <c r="J100" s="12"/>
      <c r="K100" s="13" t="s">
        <v>45</v>
      </c>
    </row>
    <row r="101" customFormat="false" ht="27.75" hidden="false" customHeight="true" outlineLevel="0" collapsed="false">
      <c r="A101" s="12" t="n">
        <v>100</v>
      </c>
      <c r="B101" s="13" t="s">
        <v>139</v>
      </c>
      <c r="C101" s="12" t="s">
        <v>341</v>
      </c>
      <c r="D101" s="12" t="s">
        <v>342</v>
      </c>
      <c r="E101" s="12" t="s">
        <v>313</v>
      </c>
      <c r="F101" s="12" t="s">
        <v>46</v>
      </c>
      <c r="G101" s="12" t="s">
        <v>148</v>
      </c>
      <c r="H101" s="12" t="s">
        <v>314</v>
      </c>
      <c r="I101" s="12" t="s">
        <v>132</v>
      </c>
      <c r="J101" s="12"/>
      <c r="K101" s="13" t="s">
        <v>45</v>
      </c>
    </row>
    <row r="102" customFormat="false" ht="27.75" hidden="false" customHeight="true" outlineLevel="0" collapsed="false">
      <c r="A102" s="12" t="n">
        <v>101</v>
      </c>
      <c r="B102" s="13" t="s">
        <v>139</v>
      </c>
      <c r="C102" s="12" t="s">
        <v>343</v>
      </c>
      <c r="D102" s="12" t="s">
        <v>344</v>
      </c>
      <c r="E102" s="12" t="s">
        <v>313</v>
      </c>
      <c r="F102" s="12" t="s">
        <v>46</v>
      </c>
      <c r="G102" s="12" t="s">
        <v>148</v>
      </c>
      <c r="H102" s="12" t="s">
        <v>314</v>
      </c>
      <c r="I102" s="12" t="s">
        <v>132</v>
      </c>
      <c r="J102" s="12"/>
      <c r="K102" s="13" t="s">
        <v>45</v>
      </c>
    </row>
    <row r="103" customFormat="false" ht="54.75" hidden="false" customHeight="true" outlineLevel="0" collapsed="false">
      <c r="A103" s="12" t="n">
        <v>102</v>
      </c>
      <c r="B103" s="13" t="s">
        <v>139</v>
      </c>
      <c r="C103" s="12" t="s">
        <v>345</v>
      </c>
      <c r="D103" s="12" t="s">
        <v>346</v>
      </c>
      <c r="E103" s="12" t="s">
        <v>313</v>
      </c>
      <c r="F103" s="12" t="s">
        <v>46</v>
      </c>
      <c r="G103" s="12" t="s">
        <v>148</v>
      </c>
      <c r="H103" s="12" t="s">
        <v>314</v>
      </c>
      <c r="I103" s="12" t="s">
        <v>132</v>
      </c>
      <c r="J103" s="12"/>
      <c r="K103" s="13" t="s">
        <v>45</v>
      </c>
    </row>
    <row r="104" customFormat="false" ht="27.75" hidden="false" customHeight="true" outlineLevel="0" collapsed="false">
      <c r="A104" s="12" t="n">
        <v>103</v>
      </c>
      <c r="B104" s="13" t="s">
        <v>139</v>
      </c>
      <c r="C104" s="12" t="s">
        <v>347</v>
      </c>
      <c r="D104" s="12" t="s">
        <v>348</v>
      </c>
      <c r="E104" s="12" t="s">
        <v>61</v>
      </c>
      <c r="F104" s="12" t="s">
        <v>46</v>
      </c>
      <c r="G104" s="12" t="s">
        <v>148</v>
      </c>
      <c r="H104" s="12"/>
      <c r="I104" s="12" t="s">
        <v>132</v>
      </c>
      <c r="J104" s="12"/>
      <c r="K104" s="13" t="s">
        <v>45</v>
      </c>
    </row>
    <row r="105" customFormat="false" ht="27.75" hidden="false" customHeight="true" outlineLevel="0" collapsed="false">
      <c r="A105" s="12" t="n">
        <v>104</v>
      </c>
      <c r="B105" s="13" t="s">
        <v>139</v>
      </c>
      <c r="C105" s="12" t="s">
        <v>349</v>
      </c>
      <c r="D105" s="12" t="s">
        <v>350</v>
      </c>
      <c r="E105" s="12" t="s">
        <v>61</v>
      </c>
      <c r="F105" s="12" t="s">
        <v>80</v>
      </c>
      <c r="G105" s="12" t="s">
        <v>148</v>
      </c>
      <c r="H105" s="12"/>
      <c r="I105" s="12" t="s">
        <v>132</v>
      </c>
      <c r="J105" s="12"/>
      <c r="K105" s="13" t="s">
        <v>45</v>
      </c>
    </row>
    <row r="106" customFormat="false" ht="54.75" hidden="false" customHeight="true" outlineLevel="0" collapsed="false">
      <c r="A106" s="12" t="n">
        <v>105</v>
      </c>
      <c r="B106" s="13" t="s">
        <v>139</v>
      </c>
      <c r="C106" s="12" t="s">
        <v>68</v>
      </c>
      <c r="D106" s="12" t="s">
        <v>351</v>
      </c>
      <c r="E106" s="12" t="s">
        <v>61</v>
      </c>
      <c r="F106" s="12" t="s">
        <v>46</v>
      </c>
      <c r="G106" s="12" t="s">
        <v>148</v>
      </c>
      <c r="H106" s="12"/>
      <c r="I106" s="12" t="s">
        <v>132</v>
      </c>
      <c r="J106" s="12"/>
      <c r="K106" s="13" t="s">
        <v>45</v>
      </c>
    </row>
    <row r="107" customFormat="false" ht="41.25" hidden="false" customHeight="true" outlineLevel="0" collapsed="false">
      <c r="A107" s="12" t="n">
        <v>106</v>
      </c>
      <c r="B107" s="13" t="s">
        <v>139</v>
      </c>
      <c r="C107" s="12" t="s">
        <v>352</v>
      </c>
      <c r="D107" s="12" t="s">
        <v>353</v>
      </c>
      <c r="E107" s="12" t="s">
        <v>61</v>
      </c>
      <c r="F107" s="12" t="s">
        <v>46</v>
      </c>
      <c r="G107" s="12" t="s">
        <v>148</v>
      </c>
      <c r="H107" s="12"/>
      <c r="I107" s="14" t="s">
        <v>143</v>
      </c>
      <c r="J107" s="12"/>
      <c r="K107" s="13" t="s">
        <v>45</v>
      </c>
    </row>
    <row r="108" customFormat="false" ht="27.75" hidden="false" customHeight="true" outlineLevel="0" collapsed="false">
      <c r="A108" s="12" t="n">
        <v>107</v>
      </c>
      <c r="B108" s="13" t="s">
        <v>139</v>
      </c>
      <c r="C108" s="12" t="s">
        <v>354</v>
      </c>
      <c r="D108" s="12" t="s">
        <v>355</v>
      </c>
      <c r="E108" s="12" t="s">
        <v>61</v>
      </c>
      <c r="F108" s="12" t="s">
        <v>46</v>
      </c>
      <c r="G108" s="12" t="s">
        <v>148</v>
      </c>
      <c r="H108" s="12"/>
      <c r="I108" s="12" t="s">
        <v>132</v>
      </c>
      <c r="J108" s="12"/>
      <c r="K108" s="13" t="s">
        <v>45</v>
      </c>
    </row>
    <row r="109" customFormat="false" ht="27.75" hidden="false" customHeight="true" outlineLevel="0" collapsed="false">
      <c r="A109" s="12" t="n">
        <v>108</v>
      </c>
      <c r="B109" s="13" t="s">
        <v>139</v>
      </c>
      <c r="C109" s="12" t="s">
        <v>356</v>
      </c>
      <c r="D109" s="12" t="s">
        <v>357</v>
      </c>
      <c r="E109" s="12" t="s">
        <v>61</v>
      </c>
      <c r="F109" s="12" t="s">
        <v>46</v>
      </c>
      <c r="G109" s="12" t="s">
        <v>148</v>
      </c>
      <c r="H109" s="12"/>
      <c r="I109" s="12" t="s">
        <v>132</v>
      </c>
      <c r="J109" s="12"/>
      <c r="K109" s="13" t="s">
        <v>45</v>
      </c>
    </row>
    <row r="110" customFormat="false" ht="41.25" hidden="false" customHeight="true" outlineLevel="0" collapsed="false">
      <c r="A110" s="12" t="n">
        <v>109</v>
      </c>
      <c r="B110" s="13" t="s">
        <v>139</v>
      </c>
      <c r="C110" s="12" t="s">
        <v>356</v>
      </c>
      <c r="D110" s="12" t="s">
        <v>358</v>
      </c>
      <c r="E110" s="12" t="s">
        <v>61</v>
      </c>
      <c r="F110" s="12" t="s">
        <v>46</v>
      </c>
      <c r="G110" s="12" t="s">
        <v>148</v>
      </c>
      <c r="H110" s="12"/>
      <c r="I110" s="12" t="s">
        <v>132</v>
      </c>
      <c r="J110" s="12"/>
      <c r="K110" s="13" t="s">
        <v>45</v>
      </c>
    </row>
    <row r="111" customFormat="false" ht="27.75" hidden="false" customHeight="true" outlineLevel="0" collapsed="false">
      <c r="A111" s="12" t="n">
        <v>110</v>
      </c>
      <c r="B111" s="13" t="s">
        <v>42</v>
      </c>
      <c r="C111" s="12" t="s">
        <v>359</v>
      </c>
      <c r="D111" s="12" t="s">
        <v>360</v>
      </c>
      <c r="E111" s="12" t="s">
        <v>45</v>
      </c>
      <c r="F111" s="12" t="s">
        <v>46</v>
      </c>
      <c r="G111" s="12" t="s">
        <v>361</v>
      </c>
      <c r="H111" s="12" t="s">
        <v>362</v>
      </c>
      <c r="I111" s="12" t="s">
        <v>49</v>
      </c>
      <c r="J111" s="12"/>
      <c r="K111" s="13" t="s">
        <v>45</v>
      </c>
    </row>
    <row r="112" customFormat="false" ht="27.75" hidden="false" customHeight="true" outlineLevel="0" collapsed="false">
      <c r="A112" s="12" t="n">
        <v>111</v>
      </c>
      <c r="B112" s="13" t="s">
        <v>71</v>
      </c>
      <c r="C112" s="12" t="s">
        <v>363</v>
      </c>
      <c r="D112" s="12" t="s">
        <v>364</v>
      </c>
      <c r="E112" s="12" t="s">
        <v>7</v>
      </c>
      <c r="F112" s="12" t="s">
        <v>80</v>
      </c>
      <c r="G112" s="12" t="s">
        <v>361</v>
      </c>
      <c r="H112" s="12" t="s">
        <v>365</v>
      </c>
      <c r="I112" s="12" t="s">
        <v>49</v>
      </c>
      <c r="J112" s="12"/>
      <c r="K112" s="13" t="s">
        <v>45</v>
      </c>
    </row>
    <row r="113" customFormat="false" ht="27.75" hidden="false" customHeight="true" outlineLevel="0" collapsed="false">
      <c r="A113" s="12" t="n">
        <v>112</v>
      </c>
      <c r="B113" s="13" t="s">
        <v>71</v>
      </c>
      <c r="C113" s="12" t="s">
        <v>366</v>
      </c>
      <c r="D113" s="12" t="s">
        <v>367</v>
      </c>
      <c r="E113" s="12" t="s">
        <v>9</v>
      </c>
      <c r="F113" s="12" t="s">
        <v>80</v>
      </c>
      <c r="G113" s="12" t="s">
        <v>361</v>
      </c>
      <c r="H113" s="12" t="s">
        <v>368</v>
      </c>
      <c r="I113" s="12" t="s">
        <v>162</v>
      </c>
      <c r="J113" s="12"/>
      <c r="K113" s="13" t="s">
        <v>163</v>
      </c>
    </row>
    <row r="114" customFormat="false" ht="41.25" hidden="false" customHeight="true" outlineLevel="0" collapsed="false">
      <c r="A114" s="12" t="n">
        <v>113</v>
      </c>
      <c r="B114" s="13" t="s">
        <v>71</v>
      </c>
      <c r="C114" s="12" t="s">
        <v>369</v>
      </c>
      <c r="D114" s="12" t="s">
        <v>370</v>
      </c>
      <c r="E114" s="12" t="s">
        <v>9</v>
      </c>
      <c r="F114" s="12" t="s">
        <v>80</v>
      </c>
      <c r="G114" s="12" t="s">
        <v>361</v>
      </c>
      <c r="H114" s="12" t="s">
        <v>371</v>
      </c>
      <c r="I114" s="12" t="s">
        <v>162</v>
      </c>
      <c r="J114" s="12"/>
      <c r="K114" s="13" t="s">
        <v>163</v>
      </c>
    </row>
    <row r="115" customFormat="false" ht="27.75" hidden="false" customHeight="true" outlineLevel="0" collapsed="false">
      <c r="A115" s="12" t="n">
        <v>114</v>
      </c>
      <c r="B115" s="13" t="s">
        <v>71</v>
      </c>
      <c r="C115" s="12" t="s">
        <v>372</v>
      </c>
      <c r="D115" s="12" t="s">
        <v>373</v>
      </c>
      <c r="E115" s="12" t="s">
        <v>9</v>
      </c>
      <c r="F115" s="12" t="s">
        <v>46</v>
      </c>
      <c r="G115" s="12" t="s">
        <v>361</v>
      </c>
      <c r="H115" s="12" t="s">
        <v>374</v>
      </c>
      <c r="I115" s="12" t="s">
        <v>162</v>
      </c>
      <c r="J115" s="12"/>
      <c r="K115" s="13" t="s">
        <v>163</v>
      </c>
    </row>
    <row r="116" customFormat="false" ht="27.75" hidden="false" customHeight="true" outlineLevel="0" collapsed="false">
      <c r="A116" s="12" t="n">
        <v>115</v>
      </c>
      <c r="B116" s="13" t="s">
        <v>62</v>
      </c>
      <c r="C116" s="12" t="s">
        <v>375</v>
      </c>
      <c r="D116" s="12" t="s">
        <v>376</v>
      </c>
      <c r="E116" s="12" t="s">
        <v>61</v>
      </c>
      <c r="F116" s="12" t="s">
        <v>46</v>
      </c>
      <c r="G116" s="12" t="s">
        <v>361</v>
      </c>
      <c r="H116" s="12" t="s">
        <v>377</v>
      </c>
      <c r="I116" s="12" t="s">
        <v>49</v>
      </c>
      <c r="J116" s="12"/>
      <c r="K116" s="13" t="s">
        <v>67</v>
      </c>
    </row>
    <row r="117" customFormat="false" ht="15" hidden="false" customHeight="true" outlineLevel="0" collapsed="false">
      <c r="A117" s="12" t="n">
        <v>116</v>
      </c>
      <c r="B117" s="13" t="s">
        <v>71</v>
      </c>
      <c r="C117" s="12" t="s">
        <v>378</v>
      </c>
      <c r="D117" s="12" t="s">
        <v>379</v>
      </c>
      <c r="E117" s="12" t="s">
        <v>9</v>
      </c>
      <c r="F117" s="12" t="s">
        <v>46</v>
      </c>
      <c r="G117" s="12" t="s">
        <v>361</v>
      </c>
      <c r="H117" s="12" t="s">
        <v>380</v>
      </c>
      <c r="I117" s="12" t="s">
        <v>49</v>
      </c>
      <c r="J117" s="12"/>
      <c r="K117" s="13" t="s">
        <v>67</v>
      </c>
    </row>
    <row r="118" customFormat="false" ht="15" hidden="false" customHeight="true" outlineLevel="0" collapsed="false">
      <c r="A118" s="12" t="n">
        <v>117</v>
      </c>
      <c r="B118" s="13" t="s">
        <v>71</v>
      </c>
      <c r="C118" s="12" t="s">
        <v>381</v>
      </c>
      <c r="D118" s="12" t="s">
        <v>382</v>
      </c>
      <c r="E118" s="12" t="s">
        <v>7</v>
      </c>
      <c r="F118" s="12" t="s">
        <v>46</v>
      </c>
      <c r="G118" s="12" t="s">
        <v>361</v>
      </c>
      <c r="H118" s="12" t="s">
        <v>380</v>
      </c>
      <c r="I118" s="12" t="s">
        <v>49</v>
      </c>
      <c r="J118" s="12"/>
      <c r="K118" s="13" t="s">
        <v>67</v>
      </c>
    </row>
    <row r="119" customFormat="false" ht="54.75" hidden="false" customHeight="true" outlineLevel="0" collapsed="false">
      <c r="A119" s="12" t="n">
        <v>118</v>
      </c>
      <c r="B119" s="13" t="s">
        <v>71</v>
      </c>
      <c r="C119" s="12" t="s">
        <v>383</v>
      </c>
      <c r="D119" s="12" t="s">
        <v>384</v>
      </c>
      <c r="E119" s="12" t="s">
        <v>7</v>
      </c>
      <c r="F119" s="12" t="s">
        <v>46</v>
      </c>
      <c r="G119" s="12" t="s">
        <v>361</v>
      </c>
      <c r="H119" s="12" t="s">
        <v>385</v>
      </c>
      <c r="I119" s="12" t="s">
        <v>49</v>
      </c>
      <c r="J119" s="12"/>
      <c r="K119" s="13" t="s">
        <v>67</v>
      </c>
    </row>
    <row r="120" customFormat="false" ht="15" hidden="false" customHeight="true" outlineLevel="0" collapsed="false">
      <c r="A120" s="12" t="n">
        <v>119</v>
      </c>
      <c r="B120" s="13" t="s">
        <v>71</v>
      </c>
      <c r="C120" s="12" t="s">
        <v>386</v>
      </c>
      <c r="D120" s="12" t="s">
        <v>387</v>
      </c>
      <c r="E120" s="12" t="s">
        <v>7</v>
      </c>
      <c r="F120" s="12" t="s">
        <v>46</v>
      </c>
      <c r="G120" s="12" t="s">
        <v>361</v>
      </c>
      <c r="H120" s="12" t="s">
        <v>388</v>
      </c>
      <c r="I120" s="12" t="s">
        <v>49</v>
      </c>
      <c r="J120" s="12"/>
      <c r="K120" s="13" t="s">
        <v>67</v>
      </c>
    </row>
    <row r="121" customFormat="false" ht="27.75" hidden="false" customHeight="true" outlineLevel="0" collapsed="false">
      <c r="A121" s="12" t="n">
        <v>120</v>
      </c>
      <c r="B121" s="13" t="s">
        <v>71</v>
      </c>
      <c r="C121" s="12" t="s">
        <v>389</v>
      </c>
      <c r="D121" s="12" t="s">
        <v>390</v>
      </c>
      <c r="E121" s="12" t="s">
        <v>93</v>
      </c>
      <c r="F121" s="12" t="s">
        <v>46</v>
      </c>
      <c r="G121" s="12" t="s">
        <v>361</v>
      </c>
      <c r="H121" s="12" t="s">
        <v>391</v>
      </c>
      <c r="I121" s="12" t="s">
        <v>49</v>
      </c>
      <c r="J121" s="12"/>
      <c r="K121" s="13" t="s">
        <v>67</v>
      </c>
    </row>
    <row r="122" customFormat="false" ht="54.75" hidden="false" customHeight="true" outlineLevel="0" collapsed="false">
      <c r="A122" s="12" t="n">
        <v>121</v>
      </c>
      <c r="B122" s="13" t="s">
        <v>71</v>
      </c>
      <c r="C122" s="12" t="s">
        <v>392</v>
      </c>
      <c r="D122" s="12" t="s">
        <v>393</v>
      </c>
      <c r="E122" s="12" t="s">
        <v>205</v>
      </c>
      <c r="F122" s="12" t="s">
        <v>46</v>
      </c>
      <c r="G122" s="12" t="s">
        <v>361</v>
      </c>
      <c r="H122" s="12" t="s">
        <v>394</v>
      </c>
      <c r="I122" s="12" t="s">
        <v>49</v>
      </c>
      <c r="J122" s="12"/>
      <c r="K122" s="13" t="s">
        <v>67</v>
      </c>
    </row>
    <row r="123" customFormat="false" ht="15" hidden="false" customHeight="true" outlineLevel="0" collapsed="false">
      <c r="A123" s="12" t="n">
        <v>122</v>
      </c>
      <c r="B123" s="13" t="s">
        <v>71</v>
      </c>
      <c r="C123" s="12" t="s">
        <v>395</v>
      </c>
      <c r="D123" s="12" t="s">
        <v>396</v>
      </c>
      <c r="E123" s="12" t="s">
        <v>7</v>
      </c>
      <c r="F123" s="12" t="s">
        <v>46</v>
      </c>
      <c r="G123" s="12" t="s">
        <v>361</v>
      </c>
      <c r="H123" s="12" t="s">
        <v>397</v>
      </c>
      <c r="I123" s="12" t="s">
        <v>49</v>
      </c>
      <c r="J123" s="12"/>
      <c r="K123" s="13" t="s">
        <v>67</v>
      </c>
    </row>
    <row r="124" customFormat="false" ht="15" hidden="false" customHeight="true" outlineLevel="0" collapsed="false">
      <c r="A124" s="12" t="n">
        <v>123</v>
      </c>
      <c r="B124" s="13" t="s">
        <v>71</v>
      </c>
      <c r="C124" s="12" t="s">
        <v>398</v>
      </c>
      <c r="D124" s="12" t="s">
        <v>399</v>
      </c>
      <c r="E124" s="12" t="s">
        <v>7</v>
      </c>
      <c r="F124" s="12" t="s">
        <v>46</v>
      </c>
      <c r="G124" s="12" t="s">
        <v>361</v>
      </c>
      <c r="H124" s="12" t="s">
        <v>388</v>
      </c>
      <c r="I124" s="12" t="s">
        <v>49</v>
      </c>
      <c r="J124" s="12"/>
      <c r="K124" s="13" t="s">
        <v>67</v>
      </c>
    </row>
    <row r="125" customFormat="false" ht="15" hidden="false" customHeight="true" outlineLevel="0" collapsed="false">
      <c r="A125" s="12" t="n">
        <v>124</v>
      </c>
      <c r="B125" s="13" t="s">
        <v>71</v>
      </c>
      <c r="C125" s="12" t="s">
        <v>400</v>
      </c>
      <c r="D125" s="12" t="s">
        <v>401</v>
      </c>
      <c r="E125" s="12" t="s">
        <v>7</v>
      </c>
      <c r="F125" s="12" t="s">
        <v>46</v>
      </c>
      <c r="G125" s="12" t="s">
        <v>361</v>
      </c>
      <c r="H125" s="12" t="s">
        <v>402</v>
      </c>
      <c r="I125" s="12" t="s">
        <v>49</v>
      </c>
      <c r="J125" s="12"/>
      <c r="K125" s="13" t="s">
        <v>67</v>
      </c>
    </row>
    <row r="126" customFormat="false" ht="15" hidden="false" customHeight="true" outlineLevel="0" collapsed="false">
      <c r="A126" s="12" t="n">
        <v>125</v>
      </c>
      <c r="B126" s="13" t="s">
        <v>71</v>
      </c>
      <c r="C126" s="12" t="s">
        <v>403</v>
      </c>
      <c r="D126" s="12" t="s">
        <v>404</v>
      </c>
      <c r="E126" s="12" t="s">
        <v>7</v>
      </c>
      <c r="F126" s="12" t="s">
        <v>46</v>
      </c>
      <c r="G126" s="12" t="s">
        <v>361</v>
      </c>
      <c r="H126" s="12" t="s">
        <v>380</v>
      </c>
      <c r="I126" s="12" t="s">
        <v>49</v>
      </c>
      <c r="J126" s="12"/>
      <c r="K126" s="13" t="s">
        <v>67</v>
      </c>
    </row>
    <row r="127" customFormat="false" ht="15" hidden="false" customHeight="true" outlineLevel="0" collapsed="false">
      <c r="A127" s="12" t="n">
        <v>126</v>
      </c>
      <c r="B127" s="13" t="s">
        <v>71</v>
      </c>
      <c r="C127" s="12" t="s">
        <v>405</v>
      </c>
      <c r="D127" s="12" t="s">
        <v>406</v>
      </c>
      <c r="E127" s="12" t="s">
        <v>9</v>
      </c>
      <c r="F127" s="12" t="s">
        <v>46</v>
      </c>
      <c r="G127" s="12" t="s">
        <v>361</v>
      </c>
      <c r="H127" s="12" t="s">
        <v>215</v>
      </c>
      <c r="I127" s="12" t="s">
        <v>49</v>
      </c>
      <c r="J127" s="12"/>
      <c r="K127" s="13" t="s">
        <v>67</v>
      </c>
    </row>
    <row r="128" customFormat="false" ht="15" hidden="false" customHeight="true" outlineLevel="0" collapsed="false">
      <c r="A128" s="12" t="n">
        <v>127</v>
      </c>
      <c r="B128" s="13" t="s">
        <v>71</v>
      </c>
      <c r="C128" s="12" t="s">
        <v>407</v>
      </c>
      <c r="D128" s="12" t="s">
        <v>408</v>
      </c>
      <c r="E128" s="12" t="s">
        <v>7</v>
      </c>
      <c r="F128" s="12" t="s">
        <v>46</v>
      </c>
      <c r="G128" s="12" t="s">
        <v>361</v>
      </c>
      <c r="H128" s="12" t="s">
        <v>388</v>
      </c>
      <c r="I128" s="12" t="s">
        <v>49</v>
      </c>
      <c r="J128" s="12"/>
      <c r="K128" s="13" t="s">
        <v>67</v>
      </c>
    </row>
    <row r="129" customFormat="false" ht="27.75" hidden="false" customHeight="true" outlineLevel="0" collapsed="false">
      <c r="A129" s="12" t="n">
        <v>128</v>
      </c>
      <c r="B129" s="13" t="s">
        <v>71</v>
      </c>
      <c r="C129" s="12" t="s">
        <v>409</v>
      </c>
      <c r="D129" s="12" t="s">
        <v>410</v>
      </c>
      <c r="E129" s="12" t="s">
        <v>93</v>
      </c>
      <c r="F129" s="12" t="s">
        <v>46</v>
      </c>
      <c r="G129" s="12" t="s">
        <v>361</v>
      </c>
      <c r="H129" s="12" t="s">
        <v>411</v>
      </c>
      <c r="I129" s="12" t="s">
        <v>49</v>
      </c>
      <c r="J129" s="12"/>
      <c r="K129" s="13" t="s">
        <v>67</v>
      </c>
    </row>
    <row r="130" customFormat="false" ht="15" hidden="false" customHeight="true" outlineLevel="0" collapsed="false">
      <c r="A130" s="12" t="n">
        <v>129</v>
      </c>
      <c r="B130" s="13" t="s">
        <v>71</v>
      </c>
      <c r="C130" s="12" t="s">
        <v>412</v>
      </c>
      <c r="D130" s="12" t="s">
        <v>413</v>
      </c>
      <c r="E130" s="12" t="s">
        <v>9</v>
      </c>
      <c r="F130" s="12" t="s">
        <v>46</v>
      </c>
      <c r="G130" s="12" t="s">
        <v>361</v>
      </c>
      <c r="H130" s="12" t="s">
        <v>414</v>
      </c>
      <c r="I130" s="12" t="s">
        <v>49</v>
      </c>
      <c r="J130" s="12"/>
      <c r="K130" s="13" t="s">
        <v>67</v>
      </c>
    </row>
    <row r="131" customFormat="false" ht="15" hidden="false" customHeight="true" outlineLevel="0" collapsed="false">
      <c r="A131" s="12" t="n">
        <v>130</v>
      </c>
      <c r="B131" s="13" t="s">
        <v>71</v>
      </c>
      <c r="C131" s="12" t="s">
        <v>415</v>
      </c>
      <c r="D131" s="12" t="s">
        <v>416</v>
      </c>
      <c r="E131" s="12" t="s">
        <v>93</v>
      </c>
      <c r="F131" s="12" t="s">
        <v>46</v>
      </c>
      <c r="G131" s="12" t="s">
        <v>361</v>
      </c>
      <c r="H131" s="12" t="s">
        <v>417</v>
      </c>
      <c r="I131" s="12" t="s">
        <v>49</v>
      </c>
      <c r="J131" s="12"/>
      <c r="K131" s="13" t="s">
        <v>67</v>
      </c>
    </row>
    <row r="132" customFormat="false" ht="41.25" hidden="false" customHeight="true" outlineLevel="0" collapsed="false">
      <c r="A132" s="12" t="n">
        <v>131</v>
      </c>
      <c r="B132" s="13" t="s">
        <v>71</v>
      </c>
      <c r="C132" s="12" t="s">
        <v>418</v>
      </c>
      <c r="D132" s="12" t="s">
        <v>419</v>
      </c>
      <c r="E132" s="12" t="s">
        <v>9</v>
      </c>
      <c r="F132" s="12" t="s">
        <v>46</v>
      </c>
      <c r="G132" s="12" t="s">
        <v>361</v>
      </c>
      <c r="H132" s="12" t="s">
        <v>420</v>
      </c>
      <c r="I132" s="12" t="s">
        <v>49</v>
      </c>
      <c r="J132" s="12"/>
      <c r="K132" s="13" t="s">
        <v>67</v>
      </c>
    </row>
    <row r="133" customFormat="false" ht="54.75" hidden="false" customHeight="true" outlineLevel="0" collapsed="false">
      <c r="A133" s="12" t="n">
        <v>132</v>
      </c>
      <c r="B133" s="13" t="s">
        <v>71</v>
      </c>
      <c r="C133" s="12" t="s">
        <v>421</v>
      </c>
      <c r="D133" s="12" t="s">
        <v>422</v>
      </c>
      <c r="E133" s="12" t="s">
        <v>7</v>
      </c>
      <c r="F133" s="12" t="s">
        <v>46</v>
      </c>
      <c r="G133" s="12" t="s">
        <v>361</v>
      </c>
      <c r="H133" s="12" t="s">
        <v>423</v>
      </c>
      <c r="I133" s="12" t="s">
        <v>49</v>
      </c>
      <c r="J133" s="12"/>
      <c r="K133" s="13" t="s">
        <v>67</v>
      </c>
    </row>
    <row r="134" customFormat="false" ht="54.75" hidden="false" customHeight="true" outlineLevel="0" collapsed="false">
      <c r="A134" s="12" t="n">
        <v>133</v>
      </c>
      <c r="B134" s="13" t="s">
        <v>71</v>
      </c>
      <c r="C134" s="12" t="s">
        <v>424</v>
      </c>
      <c r="D134" s="12" t="s">
        <v>425</v>
      </c>
      <c r="E134" s="12" t="s">
        <v>9</v>
      </c>
      <c r="F134" s="12" t="s">
        <v>46</v>
      </c>
      <c r="G134" s="12" t="s">
        <v>361</v>
      </c>
      <c r="H134" s="12" t="s">
        <v>426</v>
      </c>
      <c r="I134" s="12" t="s">
        <v>162</v>
      </c>
      <c r="J134" s="12"/>
      <c r="K134" s="13" t="s">
        <v>163</v>
      </c>
    </row>
    <row r="135" customFormat="false" ht="41.25" hidden="false" customHeight="true" outlineLevel="0" collapsed="false">
      <c r="A135" s="12" t="n">
        <v>134</v>
      </c>
      <c r="B135" s="13" t="s">
        <v>71</v>
      </c>
      <c r="C135" s="12" t="s">
        <v>427</v>
      </c>
      <c r="D135" s="12" t="s">
        <v>428</v>
      </c>
      <c r="E135" s="12" t="s">
        <v>9</v>
      </c>
      <c r="F135" s="12" t="s">
        <v>46</v>
      </c>
      <c r="G135" s="12" t="s">
        <v>361</v>
      </c>
      <c r="H135" s="12" t="s">
        <v>429</v>
      </c>
      <c r="I135" s="12" t="s">
        <v>49</v>
      </c>
      <c r="J135" s="12"/>
      <c r="K135" s="13" t="s">
        <v>67</v>
      </c>
    </row>
    <row r="136" customFormat="false" ht="54.75" hidden="false" customHeight="true" outlineLevel="0" collapsed="false">
      <c r="A136" s="12" t="n">
        <v>135</v>
      </c>
      <c r="B136" s="13" t="s">
        <v>71</v>
      </c>
      <c r="C136" s="12" t="s">
        <v>430</v>
      </c>
      <c r="D136" s="12" t="s">
        <v>431</v>
      </c>
      <c r="E136" s="12" t="s">
        <v>9</v>
      </c>
      <c r="F136" s="12" t="s">
        <v>46</v>
      </c>
      <c r="G136" s="12" t="s">
        <v>361</v>
      </c>
      <c r="H136" s="12" t="s">
        <v>432</v>
      </c>
      <c r="I136" s="12" t="s">
        <v>49</v>
      </c>
      <c r="J136" s="12"/>
      <c r="K136" s="13" t="s">
        <v>67</v>
      </c>
    </row>
    <row r="137" customFormat="false" ht="41.25" hidden="false" customHeight="true" outlineLevel="0" collapsed="false">
      <c r="A137" s="12" t="n">
        <v>136</v>
      </c>
      <c r="B137" s="13" t="s">
        <v>71</v>
      </c>
      <c r="C137" s="12" t="s">
        <v>433</v>
      </c>
      <c r="D137" s="12" t="s">
        <v>434</v>
      </c>
      <c r="E137" s="12" t="s">
        <v>9</v>
      </c>
      <c r="F137" s="12" t="s">
        <v>46</v>
      </c>
      <c r="G137" s="12" t="s">
        <v>361</v>
      </c>
      <c r="H137" s="12" t="s">
        <v>435</v>
      </c>
      <c r="I137" s="12" t="s">
        <v>49</v>
      </c>
      <c r="J137" s="12"/>
      <c r="K137" s="13" t="s">
        <v>67</v>
      </c>
    </row>
    <row r="138" customFormat="false" ht="108.75" hidden="false" customHeight="true" outlineLevel="0" collapsed="false">
      <c r="A138" s="12" t="n">
        <v>137</v>
      </c>
      <c r="B138" s="13" t="s">
        <v>71</v>
      </c>
      <c r="C138" s="12" t="s">
        <v>436</v>
      </c>
      <c r="D138" s="12" t="s">
        <v>437</v>
      </c>
      <c r="E138" s="12" t="s">
        <v>7</v>
      </c>
      <c r="F138" s="12" t="s">
        <v>46</v>
      </c>
      <c r="G138" s="12" t="s">
        <v>361</v>
      </c>
      <c r="H138" s="12" t="s">
        <v>438</v>
      </c>
      <c r="I138" s="12" t="s">
        <v>49</v>
      </c>
      <c r="J138" s="12"/>
      <c r="K138" s="13" t="s">
        <v>45</v>
      </c>
    </row>
    <row r="139" customFormat="false" ht="41.25" hidden="false" customHeight="true" outlineLevel="0" collapsed="false">
      <c r="A139" s="12" t="n">
        <v>138</v>
      </c>
      <c r="B139" s="13" t="s">
        <v>71</v>
      </c>
      <c r="C139" s="12" t="s">
        <v>439</v>
      </c>
      <c r="D139" s="12" t="s">
        <v>440</v>
      </c>
      <c r="E139" s="12" t="s">
        <v>121</v>
      </c>
      <c r="F139" s="12" t="s">
        <v>46</v>
      </c>
      <c r="G139" s="12" t="s">
        <v>361</v>
      </c>
      <c r="H139" s="12" t="s">
        <v>441</v>
      </c>
      <c r="I139" s="12" t="s">
        <v>49</v>
      </c>
      <c r="J139" s="12"/>
      <c r="K139" s="13" t="s">
        <v>67</v>
      </c>
    </row>
    <row r="140" customFormat="false" ht="41.25" hidden="false" customHeight="true" outlineLevel="0" collapsed="false">
      <c r="A140" s="12" t="n">
        <v>139</v>
      </c>
      <c r="B140" s="13" t="s">
        <v>71</v>
      </c>
      <c r="C140" s="12" t="s">
        <v>442</v>
      </c>
      <c r="D140" s="12" t="s">
        <v>443</v>
      </c>
      <c r="E140" s="12" t="s">
        <v>121</v>
      </c>
      <c r="F140" s="12" t="s">
        <v>46</v>
      </c>
      <c r="G140" s="12" t="s">
        <v>361</v>
      </c>
      <c r="H140" s="12" t="s">
        <v>444</v>
      </c>
      <c r="I140" s="12" t="s">
        <v>49</v>
      </c>
      <c r="J140" s="12"/>
      <c r="K140" s="13" t="s">
        <v>67</v>
      </c>
    </row>
    <row r="141" customFormat="false" ht="27.75" hidden="false" customHeight="true" outlineLevel="0" collapsed="false">
      <c r="A141" s="12" t="n">
        <v>140</v>
      </c>
      <c r="B141" s="13" t="s">
        <v>71</v>
      </c>
      <c r="C141" s="12" t="s">
        <v>445</v>
      </c>
      <c r="D141" s="12" t="s">
        <v>446</v>
      </c>
      <c r="E141" s="12" t="s">
        <v>121</v>
      </c>
      <c r="F141" s="12" t="s">
        <v>46</v>
      </c>
      <c r="G141" s="12" t="s">
        <v>361</v>
      </c>
      <c r="H141" s="12" t="s">
        <v>447</v>
      </c>
      <c r="I141" s="12" t="s">
        <v>49</v>
      </c>
      <c r="J141" s="12"/>
      <c r="K141" s="13" t="s">
        <v>67</v>
      </c>
    </row>
    <row r="142" customFormat="false" ht="54.75" hidden="false" customHeight="true" outlineLevel="0" collapsed="false">
      <c r="A142" s="12" t="n">
        <v>141</v>
      </c>
      <c r="B142" s="13" t="s">
        <v>71</v>
      </c>
      <c r="C142" s="12" t="s">
        <v>448</v>
      </c>
      <c r="D142" s="12" t="s">
        <v>449</v>
      </c>
      <c r="E142" s="12" t="s">
        <v>121</v>
      </c>
      <c r="F142" s="12" t="s">
        <v>46</v>
      </c>
      <c r="G142" s="12" t="s">
        <v>361</v>
      </c>
      <c r="H142" s="12" t="s">
        <v>450</v>
      </c>
      <c r="I142" s="12" t="s">
        <v>49</v>
      </c>
      <c r="J142" s="12"/>
      <c r="K142" s="13" t="s">
        <v>67</v>
      </c>
    </row>
    <row r="143" customFormat="false" ht="27.75" hidden="false" customHeight="true" outlineLevel="0" collapsed="false">
      <c r="A143" s="12" t="n">
        <v>142</v>
      </c>
      <c r="B143" s="13" t="s">
        <v>71</v>
      </c>
      <c r="C143" s="12" t="s">
        <v>451</v>
      </c>
      <c r="D143" s="12" t="s">
        <v>452</v>
      </c>
      <c r="E143" s="12" t="s">
        <v>121</v>
      </c>
      <c r="F143" s="12" t="s">
        <v>46</v>
      </c>
      <c r="G143" s="12" t="s">
        <v>361</v>
      </c>
      <c r="H143" s="12" t="s">
        <v>453</v>
      </c>
      <c r="I143" s="12" t="s">
        <v>49</v>
      </c>
      <c r="J143" s="12"/>
      <c r="K143" s="13" t="s">
        <v>67</v>
      </c>
    </row>
    <row r="144" customFormat="false" ht="27.75" hidden="false" customHeight="true" outlineLevel="0" collapsed="false">
      <c r="A144" s="12" t="n">
        <v>143</v>
      </c>
      <c r="B144" s="13" t="s">
        <v>71</v>
      </c>
      <c r="C144" s="12" t="s">
        <v>454</v>
      </c>
      <c r="D144" s="12" t="s">
        <v>455</v>
      </c>
      <c r="E144" s="12" t="s">
        <v>121</v>
      </c>
      <c r="F144" s="12" t="s">
        <v>46</v>
      </c>
      <c r="G144" s="12" t="s">
        <v>361</v>
      </c>
      <c r="H144" s="12" t="s">
        <v>456</v>
      </c>
      <c r="I144" s="12" t="s">
        <v>49</v>
      </c>
      <c r="J144" s="12"/>
      <c r="K144" s="13" t="s">
        <v>67</v>
      </c>
    </row>
    <row r="145" customFormat="false" ht="27.75" hidden="false" customHeight="true" outlineLevel="0" collapsed="false">
      <c r="A145" s="12" t="n">
        <v>144</v>
      </c>
      <c r="B145" s="13" t="s">
        <v>71</v>
      </c>
      <c r="C145" s="12" t="s">
        <v>439</v>
      </c>
      <c r="D145" s="12" t="s">
        <v>457</v>
      </c>
      <c r="E145" s="12" t="s">
        <v>121</v>
      </c>
      <c r="F145" s="12" t="s">
        <v>46</v>
      </c>
      <c r="G145" s="12" t="s">
        <v>361</v>
      </c>
      <c r="H145" s="12" t="s">
        <v>456</v>
      </c>
      <c r="I145" s="12" t="s">
        <v>49</v>
      </c>
      <c r="J145" s="12"/>
      <c r="K145" s="13" t="s">
        <v>67</v>
      </c>
    </row>
    <row r="146" customFormat="false" ht="27.75" hidden="false" customHeight="true" outlineLevel="0" collapsed="false">
      <c r="A146" s="12" t="n">
        <v>145</v>
      </c>
      <c r="B146" s="13" t="s">
        <v>71</v>
      </c>
      <c r="C146" s="12" t="s">
        <v>458</v>
      </c>
      <c r="D146" s="12" t="s">
        <v>459</v>
      </c>
      <c r="E146" s="12" t="s">
        <v>121</v>
      </c>
      <c r="F146" s="12" t="s">
        <v>46</v>
      </c>
      <c r="G146" s="12" t="s">
        <v>361</v>
      </c>
      <c r="H146" s="12" t="s">
        <v>460</v>
      </c>
      <c r="I146" s="12" t="s">
        <v>49</v>
      </c>
      <c r="J146" s="12"/>
      <c r="K146" s="13" t="s">
        <v>67</v>
      </c>
    </row>
    <row r="147" customFormat="false" ht="27.75" hidden="false" customHeight="true" outlineLevel="0" collapsed="false">
      <c r="A147" s="12" t="n">
        <v>146</v>
      </c>
      <c r="B147" s="13" t="s">
        <v>71</v>
      </c>
      <c r="C147" s="12" t="s">
        <v>461</v>
      </c>
      <c r="D147" s="12" t="s">
        <v>462</v>
      </c>
      <c r="E147" s="12" t="s">
        <v>121</v>
      </c>
      <c r="F147" s="12" t="s">
        <v>46</v>
      </c>
      <c r="G147" s="12" t="s">
        <v>361</v>
      </c>
      <c r="H147" s="12" t="s">
        <v>463</v>
      </c>
      <c r="I147" s="12" t="s">
        <v>49</v>
      </c>
      <c r="J147" s="12"/>
      <c r="K147" s="13" t="s">
        <v>67</v>
      </c>
    </row>
    <row r="148" customFormat="false" ht="54.75" hidden="false" customHeight="true" outlineLevel="0" collapsed="false">
      <c r="A148" s="12" t="n">
        <v>147</v>
      </c>
      <c r="B148" s="13" t="s">
        <v>71</v>
      </c>
      <c r="C148" s="12" t="s">
        <v>464</v>
      </c>
      <c r="D148" s="12" t="s">
        <v>465</v>
      </c>
      <c r="E148" s="12" t="s">
        <v>121</v>
      </c>
      <c r="F148" s="12" t="s">
        <v>46</v>
      </c>
      <c r="G148" s="12" t="s">
        <v>361</v>
      </c>
      <c r="H148" s="12" t="s">
        <v>466</v>
      </c>
      <c r="I148" s="12" t="s">
        <v>49</v>
      </c>
      <c r="J148" s="12"/>
      <c r="K148" s="13" t="s">
        <v>67</v>
      </c>
    </row>
    <row r="149" customFormat="false" ht="41.25" hidden="false" customHeight="true" outlineLevel="0" collapsed="false">
      <c r="A149" s="12" t="n">
        <v>148</v>
      </c>
      <c r="B149" s="13" t="s">
        <v>71</v>
      </c>
      <c r="C149" s="12" t="s">
        <v>467</v>
      </c>
      <c r="D149" s="12" t="s">
        <v>468</v>
      </c>
      <c r="E149" s="12" t="s">
        <v>121</v>
      </c>
      <c r="F149" s="12" t="s">
        <v>46</v>
      </c>
      <c r="G149" s="12" t="s">
        <v>361</v>
      </c>
      <c r="H149" s="12" t="s">
        <v>469</v>
      </c>
      <c r="I149" s="12" t="s">
        <v>49</v>
      </c>
      <c r="J149" s="12"/>
      <c r="K149" s="13" t="s">
        <v>67</v>
      </c>
    </row>
    <row r="150" customFormat="false" ht="68.25" hidden="false" customHeight="true" outlineLevel="0" collapsed="false">
      <c r="A150" s="12" t="n">
        <v>149</v>
      </c>
      <c r="B150" s="13" t="s">
        <v>71</v>
      </c>
      <c r="C150" s="12" t="s">
        <v>470</v>
      </c>
      <c r="D150" s="12" t="s">
        <v>471</v>
      </c>
      <c r="E150" s="12" t="s">
        <v>121</v>
      </c>
      <c r="F150" s="12" t="s">
        <v>46</v>
      </c>
      <c r="G150" s="12" t="s">
        <v>361</v>
      </c>
      <c r="H150" s="12" t="s">
        <v>472</v>
      </c>
      <c r="I150" s="12" t="s">
        <v>49</v>
      </c>
      <c r="J150" s="12"/>
      <c r="K150" s="13" t="s">
        <v>67</v>
      </c>
    </row>
    <row r="151" customFormat="false" ht="41.25" hidden="false" customHeight="true" outlineLevel="0" collapsed="false">
      <c r="A151" s="12" t="n">
        <v>150</v>
      </c>
      <c r="B151" s="13" t="s">
        <v>71</v>
      </c>
      <c r="C151" s="12" t="s">
        <v>473</v>
      </c>
      <c r="D151" s="12" t="s">
        <v>474</v>
      </c>
      <c r="E151" s="12" t="s">
        <v>9</v>
      </c>
      <c r="F151" s="12" t="s">
        <v>46</v>
      </c>
      <c r="G151" s="12" t="s">
        <v>361</v>
      </c>
      <c r="H151" s="12" t="s">
        <v>475</v>
      </c>
      <c r="I151" s="12" t="s">
        <v>49</v>
      </c>
      <c r="J151" s="12"/>
      <c r="K151" s="13" t="s">
        <v>45</v>
      </c>
    </row>
    <row r="152" customFormat="false" ht="41.25" hidden="false" customHeight="true" outlineLevel="0" collapsed="false">
      <c r="A152" s="12" t="n">
        <v>151</v>
      </c>
      <c r="B152" s="13" t="s">
        <v>71</v>
      </c>
      <c r="C152" s="12" t="s">
        <v>476</v>
      </c>
      <c r="D152" s="12" t="s">
        <v>477</v>
      </c>
      <c r="E152" s="12" t="s">
        <v>121</v>
      </c>
      <c r="F152" s="12" t="s">
        <v>46</v>
      </c>
      <c r="G152" s="12" t="s">
        <v>361</v>
      </c>
      <c r="H152" s="12" t="s">
        <v>478</v>
      </c>
      <c r="I152" s="12" t="s">
        <v>49</v>
      </c>
      <c r="J152" s="12"/>
      <c r="K152" s="13" t="s">
        <v>67</v>
      </c>
    </row>
    <row r="153" customFormat="false" ht="54.75" hidden="false" customHeight="true" outlineLevel="0" collapsed="false">
      <c r="A153" s="12" t="n">
        <v>152</v>
      </c>
      <c r="B153" s="13" t="s">
        <v>71</v>
      </c>
      <c r="C153" s="12" t="s">
        <v>479</v>
      </c>
      <c r="D153" s="12" t="s">
        <v>480</v>
      </c>
      <c r="E153" s="12" t="s">
        <v>121</v>
      </c>
      <c r="F153" s="12" t="s">
        <v>46</v>
      </c>
      <c r="G153" s="12" t="s">
        <v>361</v>
      </c>
      <c r="H153" s="12" t="s">
        <v>481</v>
      </c>
      <c r="I153" s="12" t="s">
        <v>49</v>
      </c>
      <c r="J153" s="12"/>
      <c r="K153" s="13" t="s">
        <v>67</v>
      </c>
    </row>
    <row r="154" customFormat="false" ht="108.75" hidden="false" customHeight="true" outlineLevel="0" collapsed="false">
      <c r="A154" s="12" t="n">
        <v>153</v>
      </c>
      <c r="B154" s="13" t="s">
        <v>71</v>
      </c>
      <c r="C154" s="12" t="s">
        <v>283</v>
      </c>
      <c r="D154" s="12" t="s">
        <v>482</v>
      </c>
      <c r="E154" s="12" t="s">
        <v>121</v>
      </c>
      <c r="F154" s="12" t="s">
        <v>46</v>
      </c>
      <c r="G154" s="12" t="s">
        <v>361</v>
      </c>
      <c r="H154" s="12" t="s">
        <v>483</v>
      </c>
      <c r="I154" s="12" t="s">
        <v>49</v>
      </c>
      <c r="J154" s="12"/>
      <c r="K154" s="13" t="s">
        <v>67</v>
      </c>
    </row>
    <row r="155" customFormat="false" ht="54.75" hidden="false" customHeight="true" outlineLevel="0" collapsed="false">
      <c r="A155" s="12" t="n">
        <v>154</v>
      </c>
      <c r="B155" s="13" t="s">
        <v>71</v>
      </c>
      <c r="C155" s="12" t="s">
        <v>484</v>
      </c>
      <c r="D155" s="12" t="s">
        <v>485</v>
      </c>
      <c r="E155" s="12" t="s">
        <v>121</v>
      </c>
      <c r="F155" s="12" t="s">
        <v>46</v>
      </c>
      <c r="G155" s="12" t="s">
        <v>361</v>
      </c>
      <c r="H155" s="12" t="s">
        <v>486</v>
      </c>
      <c r="I155" s="12" t="s">
        <v>49</v>
      </c>
      <c r="J155" s="12"/>
      <c r="K155" s="13" t="s">
        <v>67</v>
      </c>
    </row>
    <row r="156" customFormat="false" ht="41.25" hidden="false" customHeight="true" outlineLevel="0" collapsed="false">
      <c r="A156" s="12" t="n">
        <v>155</v>
      </c>
      <c r="B156" s="13" t="s">
        <v>71</v>
      </c>
      <c r="C156" s="12" t="s">
        <v>487</v>
      </c>
      <c r="D156" s="12" t="s">
        <v>488</v>
      </c>
      <c r="E156" s="12" t="s">
        <v>121</v>
      </c>
      <c r="F156" s="12" t="s">
        <v>46</v>
      </c>
      <c r="G156" s="12" t="s">
        <v>361</v>
      </c>
      <c r="H156" s="12" t="s">
        <v>489</v>
      </c>
      <c r="I156" s="12" t="s">
        <v>49</v>
      </c>
      <c r="J156" s="12"/>
      <c r="K156" s="13" t="s">
        <v>67</v>
      </c>
    </row>
    <row r="157" customFormat="false" ht="41.25" hidden="false" customHeight="true" outlineLevel="0" collapsed="false">
      <c r="A157" s="12" t="n">
        <v>156</v>
      </c>
      <c r="B157" s="13" t="s">
        <v>71</v>
      </c>
      <c r="C157" s="12" t="s">
        <v>490</v>
      </c>
      <c r="D157" s="12" t="s">
        <v>491</v>
      </c>
      <c r="E157" s="12" t="s">
        <v>45</v>
      </c>
      <c r="F157" s="12" t="s">
        <v>80</v>
      </c>
      <c r="G157" s="12" t="s">
        <v>361</v>
      </c>
      <c r="H157" s="12" t="s">
        <v>492</v>
      </c>
      <c r="I157" s="12" t="s">
        <v>49</v>
      </c>
      <c r="J157" s="12"/>
      <c r="K157" s="13" t="s">
        <v>45</v>
      </c>
    </row>
    <row r="158" customFormat="false" ht="27.75" hidden="false" customHeight="true" outlineLevel="0" collapsed="false">
      <c r="A158" s="12" t="n">
        <v>157</v>
      </c>
      <c r="B158" s="13" t="s">
        <v>71</v>
      </c>
      <c r="C158" s="12" t="s">
        <v>493</v>
      </c>
      <c r="D158" s="12" t="s">
        <v>494</v>
      </c>
      <c r="E158" s="12" t="s">
        <v>61</v>
      </c>
      <c r="F158" s="12" t="s">
        <v>46</v>
      </c>
      <c r="G158" s="12" t="s">
        <v>361</v>
      </c>
      <c r="H158" s="12"/>
      <c r="I158" s="12" t="s">
        <v>49</v>
      </c>
      <c r="J158" s="12"/>
      <c r="K158" s="13" t="s">
        <v>45</v>
      </c>
    </row>
    <row r="159" customFormat="false" ht="27.75" hidden="false" customHeight="true" outlineLevel="0" collapsed="false">
      <c r="A159" s="12" t="n">
        <v>158</v>
      </c>
      <c r="B159" s="13" t="s">
        <v>16</v>
      </c>
      <c r="C159" s="12" t="s">
        <v>495</v>
      </c>
      <c r="D159" s="12" t="s">
        <v>496</v>
      </c>
      <c r="E159" s="12" t="s">
        <v>61</v>
      </c>
      <c r="F159" s="12" t="s">
        <v>46</v>
      </c>
      <c r="G159" s="12" t="s">
        <v>361</v>
      </c>
      <c r="H159" s="12"/>
      <c r="I159" s="12" t="s">
        <v>132</v>
      </c>
      <c r="J159" s="12"/>
      <c r="K159" s="13" t="s">
        <v>45</v>
      </c>
    </row>
    <row r="160" customFormat="false" ht="41.25" hidden="false" customHeight="true" outlineLevel="0" collapsed="false">
      <c r="A160" s="12" t="n">
        <v>159</v>
      </c>
      <c r="B160" s="13" t="s">
        <v>139</v>
      </c>
      <c r="C160" s="12" t="s">
        <v>497</v>
      </c>
      <c r="D160" s="12" t="s">
        <v>498</v>
      </c>
      <c r="E160" s="12" t="s">
        <v>303</v>
      </c>
      <c r="F160" s="12" t="s">
        <v>169</v>
      </c>
      <c r="G160" s="12" t="s">
        <v>361</v>
      </c>
      <c r="H160" s="12" t="s">
        <v>499</v>
      </c>
      <c r="I160" s="12" t="s">
        <v>132</v>
      </c>
      <c r="J160" s="12"/>
      <c r="K160" s="13" t="s">
        <v>45</v>
      </c>
    </row>
    <row r="161" customFormat="false" ht="27.75" hidden="false" customHeight="true" outlineLevel="0" collapsed="false">
      <c r="A161" s="12" t="n">
        <v>160</v>
      </c>
      <c r="B161" s="13" t="s">
        <v>139</v>
      </c>
      <c r="C161" s="12" t="s">
        <v>500</v>
      </c>
      <c r="D161" s="12" t="s">
        <v>501</v>
      </c>
      <c r="E161" s="12" t="s">
        <v>303</v>
      </c>
      <c r="F161" s="12" t="s">
        <v>46</v>
      </c>
      <c r="G161" s="12" t="s">
        <v>361</v>
      </c>
      <c r="H161" s="12" t="s">
        <v>502</v>
      </c>
      <c r="I161" s="12" t="s">
        <v>132</v>
      </c>
      <c r="J161" s="12"/>
      <c r="K161" s="13" t="s">
        <v>45</v>
      </c>
    </row>
    <row r="162" customFormat="false" ht="27.75" hidden="false" customHeight="true" outlineLevel="0" collapsed="false">
      <c r="A162" s="12" t="n">
        <v>161</v>
      </c>
      <c r="B162" s="13" t="s">
        <v>139</v>
      </c>
      <c r="C162" s="12" t="s">
        <v>389</v>
      </c>
      <c r="D162" s="12" t="s">
        <v>503</v>
      </c>
      <c r="E162" s="12" t="s">
        <v>303</v>
      </c>
      <c r="F162" s="12" t="s">
        <v>46</v>
      </c>
      <c r="G162" s="12" t="s">
        <v>361</v>
      </c>
      <c r="H162" s="12" t="s">
        <v>504</v>
      </c>
      <c r="I162" s="12" t="s">
        <v>132</v>
      </c>
      <c r="J162" s="12"/>
      <c r="K162" s="13" t="s">
        <v>45</v>
      </c>
    </row>
    <row r="163" customFormat="false" ht="54.75" hidden="false" customHeight="true" outlineLevel="0" collapsed="false">
      <c r="A163" s="12" t="n">
        <v>162</v>
      </c>
      <c r="B163" s="13" t="s">
        <v>139</v>
      </c>
      <c r="C163" s="12" t="s">
        <v>505</v>
      </c>
      <c r="D163" s="12" t="s">
        <v>506</v>
      </c>
      <c r="E163" s="12" t="s">
        <v>507</v>
      </c>
      <c r="F163" s="12" t="s">
        <v>46</v>
      </c>
      <c r="G163" s="12" t="s">
        <v>361</v>
      </c>
      <c r="H163" s="12" t="s">
        <v>508</v>
      </c>
      <c r="I163" s="14" t="s">
        <v>143</v>
      </c>
      <c r="J163" s="12"/>
      <c r="K163" s="13" t="s">
        <v>45</v>
      </c>
    </row>
    <row r="164" customFormat="false" ht="81.75" hidden="false" customHeight="true" outlineLevel="0" collapsed="false">
      <c r="A164" s="12" t="n">
        <v>163</v>
      </c>
      <c r="B164" s="13" t="s">
        <v>139</v>
      </c>
      <c r="C164" s="12" t="s">
        <v>509</v>
      </c>
      <c r="D164" s="12" t="s">
        <v>510</v>
      </c>
      <c r="E164" s="12" t="s">
        <v>45</v>
      </c>
      <c r="F164" s="12" t="s">
        <v>46</v>
      </c>
      <c r="G164" s="12" t="s">
        <v>361</v>
      </c>
      <c r="H164" s="12" t="s">
        <v>511</v>
      </c>
      <c r="I164" s="12" t="s">
        <v>132</v>
      </c>
      <c r="J164" s="12"/>
      <c r="K164" s="13" t="s">
        <v>45</v>
      </c>
    </row>
    <row r="165" customFormat="false" ht="15" hidden="false" customHeight="true" outlineLevel="0" collapsed="false">
      <c r="A165" s="12" t="n">
        <v>164</v>
      </c>
      <c r="B165" s="13" t="s">
        <v>139</v>
      </c>
      <c r="C165" s="12" t="s">
        <v>512</v>
      </c>
      <c r="D165" s="12" t="s">
        <v>513</v>
      </c>
      <c r="E165" s="12" t="s">
        <v>313</v>
      </c>
      <c r="F165" s="12" t="s">
        <v>46</v>
      </c>
      <c r="G165" s="12" t="s">
        <v>361</v>
      </c>
      <c r="H165" s="12" t="s">
        <v>314</v>
      </c>
      <c r="I165" s="12" t="s">
        <v>132</v>
      </c>
      <c r="J165" s="12"/>
      <c r="K165" s="13" t="s">
        <v>45</v>
      </c>
    </row>
    <row r="166" customFormat="false" ht="27.75" hidden="false" customHeight="true" outlineLevel="0" collapsed="false">
      <c r="A166" s="12" t="n">
        <v>165</v>
      </c>
      <c r="B166" s="13" t="s">
        <v>139</v>
      </c>
      <c r="C166" s="12" t="s">
        <v>514</v>
      </c>
      <c r="D166" s="12" t="s">
        <v>515</v>
      </c>
      <c r="E166" s="12" t="s">
        <v>313</v>
      </c>
      <c r="F166" s="12" t="s">
        <v>46</v>
      </c>
      <c r="G166" s="12" t="s">
        <v>361</v>
      </c>
      <c r="H166" s="12" t="s">
        <v>314</v>
      </c>
      <c r="I166" s="14" t="s">
        <v>143</v>
      </c>
      <c r="J166" s="12"/>
      <c r="K166" s="13" t="s">
        <v>45</v>
      </c>
    </row>
    <row r="167" customFormat="false" ht="27.75" hidden="false" customHeight="true" outlineLevel="0" collapsed="false">
      <c r="A167" s="12" t="n">
        <v>166</v>
      </c>
      <c r="B167" s="13" t="s">
        <v>139</v>
      </c>
      <c r="C167" s="12" t="s">
        <v>516</v>
      </c>
      <c r="D167" s="12" t="s">
        <v>517</v>
      </c>
      <c r="E167" s="12" t="s">
        <v>313</v>
      </c>
      <c r="F167" s="12" t="s">
        <v>46</v>
      </c>
      <c r="G167" s="12" t="s">
        <v>361</v>
      </c>
      <c r="H167" s="12" t="s">
        <v>314</v>
      </c>
      <c r="I167" s="12" t="s">
        <v>518</v>
      </c>
      <c r="J167" s="12"/>
      <c r="K167" s="13" t="s">
        <v>45</v>
      </c>
    </row>
    <row r="168" customFormat="false" ht="41.25" hidden="false" customHeight="true" outlineLevel="0" collapsed="false">
      <c r="A168" s="12" t="n">
        <v>167</v>
      </c>
      <c r="B168" s="13" t="s">
        <v>139</v>
      </c>
      <c r="C168" s="12" t="s">
        <v>519</v>
      </c>
      <c r="D168" s="12" t="s">
        <v>520</v>
      </c>
      <c r="E168" s="12" t="s">
        <v>313</v>
      </c>
      <c r="F168" s="12" t="s">
        <v>46</v>
      </c>
      <c r="G168" s="12" t="s">
        <v>361</v>
      </c>
      <c r="H168" s="12" t="s">
        <v>314</v>
      </c>
      <c r="I168" s="12" t="s">
        <v>518</v>
      </c>
      <c r="J168" s="12"/>
      <c r="K168" s="13" t="s">
        <v>45</v>
      </c>
    </row>
    <row r="169" customFormat="false" ht="81.75" hidden="false" customHeight="true" outlineLevel="0" collapsed="false">
      <c r="A169" s="12" t="n">
        <v>168</v>
      </c>
      <c r="B169" s="13" t="s">
        <v>139</v>
      </c>
      <c r="C169" s="12" t="s">
        <v>521</v>
      </c>
      <c r="D169" s="12" t="s">
        <v>522</v>
      </c>
      <c r="E169" s="12" t="s">
        <v>313</v>
      </c>
      <c r="F169" s="12" t="s">
        <v>46</v>
      </c>
      <c r="G169" s="12" t="s">
        <v>361</v>
      </c>
      <c r="H169" s="12" t="s">
        <v>523</v>
      </c>
      <c r="I169" s="12" t="s">
        <v>132</v>
      </c>
      <c r="J169" s="12"/>
      <c r="K169" s="13" t="s">
        <v>45</v>
      </c>
    </row>
    <row r="170" customFormat="false" ht="27.75" hidden="false" customHeight="true" outlineLevel="0" collapsed="false">
      <c r="A170" s="12" t="n">
        <v>169</v>
      </c>
      <c r="B170" s="13" t="s">
        <v>139</v>
      </c>
      <c r="C170" s="12" t="s">
        <v>349</v>
      </c>
      <c r="D170" s="12" t="s">
        <v>524</v>
      </c>
      <c r="E170" s="12" t="s">
        <v>61</v>
      </c>
      <c r="F170" s="12" t="s">
        <v>46</v>
      </c>
      <c r="G170" s="12" t="s">
        <v>361</v>
      </c>
      <c r="H170" s="12"/>
      <c r="I170" s="12" t="s">
        <v>132</v>
      </c>
      <c r="J170" s="12"/>
      <c r="K170" s="13" t="s">
        <v>45</v>
      </c>
    </row>
    <row r="171" customFormat="false" ht="41.25" hidden="false" customHeight="true" outlineLevel="0" collapsed="false">
      <c r="A171" s="12" t="n">
        <v>170</v>
      </c>
      <c r="B171" s="13" t="s">
        <v>139</v>
      </c>
      <c r="C171" s="12" t="s">
        <v>525</v>
      </c>
      <c r="D171" s="12" t="s">
        <v>526</v>
      </c>
      <c r="E171" s="12" t="s">
        <v>61</v>
      </c>
      <c r="F171" s="12" t="s">
        <v>46</v>
      </c>
      <c r="G171" s="12" t="s">
        <v>361</v>
      </c>
      <c r="H171" s="12"/>
      <c r="I171" s="14" t="s">
        <v>143</v>
      </c>
      <c r="J171" s="12"/>
      <c r="K171" s="13" t="s">
        <v>45</v>
      </c>
    </row>
    <row r="172" customFormat="false" ht="41.25" hidden="false" customHeight="true" outlineLevel="0" collapsed="false">
      <c r="A172" s="12" t="n">
        <v>171</v>
      </c>
      <c r="B172" s="13" t="s">
        <v>139</v>
      </c>
      <c r="C172" s="12" t="s">
        <v>527</v>
      </c>
      <c r="D172" s="12" t="s">
        <v>528</v>
      </c>
      <c r="E172" s="12" t="s">
        <v>61</v>
      </c>
      <c r="F172" s="12" t="s">
        <v>46</v>
      </c>
      <c r="G172" s="12" t="s">
        <v>361</v>
      </c>
      <c r="H172" s="12" t="s">
        <v>529</v>
      </c>
      <c r="I172" s="14" t="s">
        <v>143</v>
      </c>
      <c r="J172" s="12"/>
      <c r="K172" s="13" t="s">
        <v>67</v>
      </c>
    </row>
    <row r="173" customFormat="false" ht="41.25" hidden="false" customHeight="true" outlineLevel="0" collapsed="false">
      <c r="A173" s="12" t="n">
        <v>172</v>
      </c>
      <c r="B173" s="13" t="s">
        <v>139</v>
      </c>
      <c r="C173" s="12" t="s">
        <v>530</v>
      </c>
      <c r="D173" s="12" t="s">
        <v>531</v>
      </c>
      <c r="E173" s="12" t="s">
        <v>61</v>
      </c>
      <c r="F173" s="12" t="s">
        <v>46</v>
      </c>
      <c r="G173" s="12" t="s">
        <v>361</v>
      </c>
      <c r="H173" s="12"/>
      <c r="I173" s="12" t="s">
        <v>132</v>
      </c>
      <c r="J173" s="12"/>
      <c r="K173" s="13" t="s">
        <v>45</v>
      </c>
    </row>
    <row r="174" customFormat="false" ht="27.75" hidden="false" customHeight="true" outlineLevel="0" collapsed="false">
      <c r="A174" s="12" t="n">
        <v>173</v>
      </c>
      <c r="B174" s="13" t="s">
        <v>139</v>
      </c>
      <c r="C174" s="12" t="s">
        <v>375</v>
      </c>
      <c r="D174" s="12" t="s">
        <v>532</v>
      </c>
      <c r="E174" s="12" t="s">
        <v>61</v>
      </c>
      <c r="F174" s="12" t="s">
        <v>46</v>
      </c>
      <c r="G174" s="12" t="s">
        <v>361</v>
      </c>
      <c r="H174" s="12"/>
      <c r="I174" s="12" t="s">
        <v>132</v>
      </c>
      <c r="J174" s="12"/>
      <c r="K174" s="13" t="s">
        <v>45</v>
      </c>
    </row>
    <row r="175" customFormat="false" ht="27.75" hidden="false" customHeight="true" outlineLevel="0" collapsed="false">
      <c r="A175" s="12" t="n">
        <v>174</v>
      </c>
      <c r="B175" s="13" t="s">
        <v>139</v>
      </c>
      <c r="C175" s="12" t="s">
        <v>533</v>
      </c>
      <c r="D175" s="12" t="s">
        <v>534</v>
      </c>
      <c r="E175" s="12" t="s">
        <v>61</v>
      </c>
      <c r="F175" s="12" t="s">
        <v>46</v>
      </c>
      <c r="G175" s="12" t="s">
        <v>361</v>
      </c>
      <c r="H175" s="12"/>
      <c r="I175" s="14" t="s">
        <v>143</v>
      </c>
      <c r="J175" s="12"/>
      <c r="K175" s="13" t="s">
        <v>45</v>
      </c>
    </row>
    <row r="176" customFormat="false" ht="27.75" hidden="false" customHeight="true" outlineLevel="0" collapsed="false">
      <c r="A176" s="12" t="n">
        <v>175</v>
      </c>
      <c r="B176" s="13" t="s">
        <v>139</v>
      </c>
      <c r="C176" s="12" t="s">
        <v>533</v>
      </c>
      <c r="D176" s="12" t="s">
        <v>535</v>
      </c>
      <c r="E176" s="12" t="s">
        <v>61</v>
      </c>
      <c r="F176" s="12" t="s">
        <v>46</v>
      </c>
      <c r="G176" s="12" t="s">
        <v>361</v>
      </c>
      <c r="H176" s="12"/>
      <c r="I176" s="14" t="s">
        <v>143</v>
      </c>
      <c r="J176" s="12"/>
      <c r="K176" s="13" t="s">
        <v>45</v>
      </c>
    </row>
    <row r="177" customFormat="false" ht="27.75" hidden="false" customHeight="true" outlineLevel="0" collapsed="false">
      <c r="A177" s="12" t="n">
        <v>176</v>
      </c>
      <c r="B177" s="13" t="s">
        <v>139</v>
      </c>
      <c r="C177" s="12" t="s">
        <v>175</v>
      </c>
      <c r="D177" s="12" t="s">
        <v>536</v>
      </c>
      <c r="E177" s="12" t="s">
        <v>61</v>
      </c>
      <c r="F177" s="12" t="s">
        <v>46</v>
      </c>
      <c r="G177" s="12" t="s">
        <v>361</v>
      </c>
      <c r="H177" s="12"/>
      <c r="I177" s="14" t="s">
        <v>143</v>
      </c>
      <c r="J177" s="12"/>
      <c r="K177" s="13" t="s">
        <v>45</v>
      </c>
    </row>
    <row r="178" customFormat="false" ht="41.25" hidden="false" customHeight="true" outlineLevel="0" collapsed="false">
      <c r="A178" s="12" t="n">
        <v>177</v>
      </c>
      <c r="B178" s="13" t="s">
        <v>139</v>
      </c>
      <c r="C178" s="12" t="s">
        <v>537</v>
      </c>
      <c r="D178" s="12" t="s">
        <v>538</v>
      </c>
      <c r="E178" s="12" t="s">
        <v>61</v>
      </c>
      <c r="F178" s="12" t="s">
        <v>46</v>
      </c>
      <c r="G178" s="12" t="s">
        <v>361</v>
      </c>
      <c r="H178" s="12"/>
      <c r="I178" s="12" t="s">
        <v>518</v>
      </c>
      <c r="J178" s="12"/>
      <c r="K178" s="13" t="s">
        <v>45</v>
      </c>
    </row>
    <row r="179" customFormat="false" ht="27.75" hidden="false" customHeight="true" outlineLevel="0" collapsed="false">
      <c r="A179" s="12" t="n">
        <v>178</v>
      </c>
      <c r="B179" s="13" t="s">
        <v>139</v>
      </c>
      <c r="C179" s="12" t="s">
        <v>539</v>
      </c>
      <c r="D179" s="12" t="s">
        <v>540</v>
      </c>
      <c r="E179" s="12" t="s">
        <v>61</v>
      </c>
      <c r="F179" s="12" t="s">
        <v>46</v>
      </c>
      <c r="G179" s="12" t="s">
        <v>361</v>
      </c>
      <c r="H179" s="12"/>
      <c r="I179" s="12" t="s">
        <v>132</v>
      </c>
      <c r="J179" s="12"/>
      <c r="K179" s="13" t="s">
        <v>45</v>
      </c>
    </row>
    <row r="180" customFormat="false" ht="41.25" hidden="false" customHeight="true" outlineLevel="0" collapsed="false">
      <c r="A180" s="12" t="n">
        <v>179</v>
      </c>
      <c r="B180" s="13" t="s">
        <v>139</v>
      </c>
      <c r="C180" s="12" t="s">
        <v>541</v>
      </c>
      <c r="D180" s="12" t="s">
        <v>542</v>
      </c>
      <c r="E180" s="12" t="s">
        <v>61</v>
      </c>
      <c r="F180" s="12" t="s">
        <v>46</v>
      </c>
      <c r="G180" s="12" t="s">
        <v>361</v>
      </c>
      <c r="H180" s="12" t="s">
        <v>543</v>
      </c>
      <c r="I180" s="14" t="s">
        <v>143</v>
      </c>
      <c r="J180" s="12"/>
      <c r="K180" s="13" t="s">
        <v>67</v>
      </c>
    </row>
    <row r="181" customFormat="false" ht="27.75" hidden="false" customHeight="true" outlineLevel="0" collapsed="false">
      <c r="A181" s="12" t="n">
        <v>180</v>
      </c>
      <c r="B181" s="13" t="s">
        <v>139</v>
      </c>
      <c r="C181" s="12" t="s">
        <v>544</v>
      </c>
      <c r="D181" s="12" t="s">
        <v>545</v>
      </c>
      <c r="E181" s="12" t="s">
        <v>61</v>
      </c>
      <c r="F181" s="12" t="s">
        <v>46</v>
      </c>
      <c r="G181" s="12" t="s">
        <v>361</v>
      </c>
      <c r="H181" s="12"/>
      <c r="I181" s="12" t="s">
        <v>132</v>
      </c>
      <c r="J181" s="12"/>
      <c r="K181" s="13" t="s">
        <v>45</v>
      </c>
    </row>
    <row r="182" customFormat="false" ht="27.75" hidden="false" customHeight="true" outlineLevel="0" collapsed="false">
      <c r="A182" s="12" t="n">
        <v>181</v>
      </c>
      <c r="B182" s="13" t="s">
        <v>139</v>
      </c>
      <c r="C182" s="12" t="s">
        <v>546</v>
      </c>
      <c r="D182" s="12" t="s">
        <v>547</v>
      </c>
      <c r="E182" s="12" t="s">
        <v>61</v>
      </c>
      <c r="F182" s="12" t="s">
        <v>46</v>
      </c>
      <c r="G182" s="12" t="s">
        <v>361</v>
      </c>
      <c r="H182" s="12"/>
      <c r="I182" s="12" t="s">
        <v>132</v>
      </c>
      <c r="J182" s="12"/>
      <c r="K182" s="13" t="s">
        <v>45</v>
      </c>
    </row>
    <row r="183" customFormat="false" ht="27.75" hidden="false" customHeight="true" outlineLevel="0" collapsed="false">
      <c r="A183" s="12" t="n">
        <v>182</v>
      </c>
      <c r="B183" s="13" t="s">
        <v>139</v>
      </c>
      <c r="C183" s="12" t="s">
        <v>548</v>
      </c>
      <c r="D183" s="12" t="s">
        <v>549</v>
      </c>
      <c r="E183" s="12" t="s">
        <v>61</v>
      </c>
      <c r="F183" s="12" t="s">
        <v>46</v>
      </c>
      <c r="G183" s="12" t="s">
        <v>361</v>
      </c>
      <c r="H183" s="12"/>
      <c r="I183" s="12" t="s">
        <v>132</v>
      </c>
      <c r="J183" s="12"/>
      <c r="K183" s="13" t="s">
        <v>45</v>
      </c>
    </row>
    <row r="184" customFormat="false" ht="41.25" hidden="false" customHeight="true" outlineLevel="0" collapsed="false">
      <c r="A184" s="12" t="n">
        <v>183</v>
      </c>
      <c r="B184" s="13" t="s">
        <v>139</v>
      </c>
      <c r="C184" s="12" t="s">
        <v>548</v>
      </c>
      <c r="D184" s="12" t="s">
        <v>550</v>
      </c>
      <c r="E184" s="12" t="s">
        <v>61</v>
      </c>
      <c r="F184" s="12" t="s">
        <v>46</v>
      </c>
      <c r="G184" s="12" t="s">
        <v>361</v>
      </c>
      <c r="H184" s="12" t="s">
        <v>551</v>
      </c>
      <c r="I184" s="12" t="s">
        <v>132</v>
      </c>
      <c r="J184" s="12"/>
      <c r="K184" s="13" t="s">
        <v>45</v>
      </c>
    </row>
    <row r="185" customFormat="false" ht="27.75" hidden="false" customHeight="true" outlineLevel="0" collapsed="false">
      <c r="A185" s="12" t="n">
        <v>184</v>
      </c>
      <c r="B185" s="13" t="s">
        <v>139</v>
      </c>
      <c r="C185" s="12" t="s">
        <v>552</v>
      </c>
      <c r="D185" s="12" t="s">
        <v>553</v>
      </c>
      <c r="E185" s="12" t="s">
        <v>61</v>
      </c>
      <c r="F185" s="12" t="s">
        <v>46</v>
      </c>
      <c r="G185" s="12" t="s">
        <v>361</v>
      </c>
      <c r="H185" s="12"/>
      <c r="I185" s="12" t="s">
        <v>132</v>
      </c>
      <c r="J185" s="12"/>
      <c r="K185" s="13" t="s">
        <v>45</v>
      </c>
    </row>
    <row r="186" customFormat="false" ht="27.75" hidden="false" customHeight="true" outlineLevel="0" collapsed="false">
      <c r="A186" s="12" t="n">
        <v>185</v>
      </c>
      <c r="B186" s="13" t="s">
        <v>139</v>
      </c>
      <c r="C186" s="12" t="s">
        <v>554</v>
      </c>
      <c r="D186" s="12" t="s">
        <v>555</v>
      </c>
      <c r="E186" s="12" t="s">
        <v>61</v>
      </c>
      <c r="F186" s="12" t="s">
        <v>46</v>
      </c>
      <c r="G186" s="12" t="s">
        <v>361</v>
      </c>
      <c r="H186" s="12"/>
      <c r="I186" s="12" t="s">
        <v>132</v>
      </c>
      <c r="J186" s="12"/>
      <c r="K186" s="13" t="s">
        <v>45</v>
      </c>
    </row>
    <row r="187" customFormat="false" ht="27.75" hidden="false" customHeight="true" outlineLevel="0" collapsed="false">
      <c r="A187" s="12" t="n">
        <v>186</v>
      </c>
      <c r="B187" s="13" t="s">
        <v>139</v>
      </c>
      <c r="C187" s="12" t="s">
        <v>556</v>
      </c>
      <c r="D187" s="12" t="s">
        <v>557</v>
      </c>
      <c r="E187" s="12" t="s">
        <v>61</v>
      </c>
      <c r="F187" s="12" t="s">
        <v>46</v>
      </c>
      <c r="G187" s="12" t="s">
        <v>361</v>
      </c>
      <c r="H187" s="12"/>
      <c r="I187" s="12" t="s">
        <v>132</v>
      </c>
      <c r="J187" s="12"/>
      <c r="K187" s="13" t="s">
        <v>45</v>
      </c>
    </row>
    <row r="188" customFormat="false" ht="41.25" hidden="false" customHeight="true" outlineLevel="0" collapsed="false">
      <c r="A188" s="12" t="n">
        <v>187</v>
      </c>
      <c r="B188" s="13" t="s">
        <v>139</v>
      </c>
      <c r="C188" s="12" t="s">
        <v>558</v>
      </c>
      <c r="D188" s="12" t="s">
        <v>559</v>
      </c>
      <c r="E188" s="12" t="s">
        <v>61</v>
      </c>
      <c r="F188" s="12" t="s">
        <v>46</v>
      </c>
      <c r="G188" s="12" t="s">
        <v>361</v>
      </c>
      <c r="H188" s="12"/>
      <c r="I188" s="12" t="s">
        <v>132</v>
      </c>
      <c r="J188" s="12"/>
      <c r="K188" s="13" t="s">
        <v>45</v>
      </c>
    </row>
    <row r="189" customFormat="false" ht="27.75" hidden="false" customHeight="true" outlineLevel="0" collapsed="false">
      <c r="A189" s="12" t="n">
        <v>188</v>
      </c>
      <c r="B189" s="13" t="s">
        <v>139</v>
      </c>
      <c r="C189" s="12" t="s">
        <v>560</v>
      </c>
      <c r="D189" s="12" t="s">
        <v>561</v>
      </c>
      <c r="E189" s="12" t="s">
        <v>61</v>
      </c>
      <c r="F189" s="12" t="s">
        <v>46</v>
      </c>
      <c r="G189" s="12" t="s">
        <v>361</v>
      </c>
      <c r="H189" s="12"/>
      <c r="I189" s="12" t="s">
        <v>132</v>
      </c>
      <c r="J189" s="12"/>
      <c r="K189" s="13" t="s">
        <v>45</v>
      </c>
    </row>
    <row r="190" customFormat="false" ht="41.25" hidden="false" customHeight="true" outlineLevel="0" collapsed="false">
      <c r="A190" s="12" t="n">
        <v>189</v>
      </c>
      <c r="B190" s="13" t="s">
        <v>71</v>
      </c>
      <c r="C190" s="12" t="s">
        <v>562</v>
      </c>
      <c r="D190" s="12" t="s">
        <v>563</v>
      </c>
      <c r="E190" s="12" t="s">
        <v>93</v>
      </c>
      <c r="F190" s="12" t="s">
        <v>46</v>
      </c>
      <c r="G190" s="12" t="s">
        <v>47</v>
      </c>
      <c r="H190" s="12" t="s">
        <v>564</v>
      </c>
      <c r="I190" s="12" t="s">
        <v>49</v>
      </c>
      <c r="J190" s="12"/>
      <c r="K190" s="13" t="s">
        <v>67</v>
      </c>
    </row>
    <row r="191" customFormat="false" ht="41.25" hidden="false" customHeight="true" outlineLevel="0" collapsed="false">
      <c r="A191" s="12" t="n">
        <v>190</v>
      </c>
      <c r="B191" s="13" t="s">
        <v>71</v>
      </c>
      <c r="C191" s="12" t="s">
        <v>565</v>
      </c>
      <c r="D191" s="12" t="s">
        <v>566</v>
      </c>
      <c r="E191" s="12" t="s">
        <v>45</v>
      </c>
      <c r="F191" s="12" t="s">
        <v>46</v>
      </c>
      <c r="G191" s="12" t="s">
        <v>47</v>
      </c>
      <c r="H191" s="12" t="s">
        <v>567</v>
      </c>
      <c r="I191" s="12" t="s">
        <v>49</v>
      </c>
      <c r="J191" s="12"/>
      <c r="K191" s="13" t="s">
        <v>67</v>
      </c>
    </row>
    <row r="192" customFormat="false" ht="68.25" hidden="false" customHeight="true" outlineLevel="0" collapsed="false">
      <c r="A192" s="12" t="n">
        <v>191</v>
      </c>
      <c r="B192" s="13" t="s">
        <v>71</v>
      </c>
      <c r="C192" s="12" t="s">
        <v>568</v>
      </c>
      <c r="D192" s="12" t="s">
        <v>569</v>
      </c>
      <c r="E192" s="12" t="s">
        <v>45</v>
      </c>
      <c r="F192" s="12" t="s">
        <v>46</v>
      </c>
      <c r="G192" s="12" t="s">
        <v>148</v>
      </c>
      <c r="H192" s="12" t="s">
        <v>570</v>
      </c>
      <c r="I192" s="12" t="s">
        <v>571</v>
      </c>
      <c r="J192" s="12"/>
      <c r="K192" s="13" t="s">
        <v>45</v>
      </c>
    </row>
    <row r="193" customFormat="false" ht="54.75" hidden="false" customHeight="true" outlineLevel="0" collapsed="false">
      <c r="A193" s="12" t="n">
        <v>192</v>
      </c>
      <c r="B193" s="13" t="s">
        <v>71</v>
      </c>
      <c r="C193" s="12" t="s">
        <v>572</v>
      </c>
      <c r="D193" s="12" t="s">
        <v>573</v>
      </c>
      <c r="E193" s="12" t="s">
        <v>45</v>
      </c>
      <c r="F193" s="12" t="s">
        <v>46</v>
      </c>
      <c r="G193" s="12" t="s">
        <v>361</v>
      </c>
      <c r="H193" s="12" t="s">
        <v>574</v>
      </c>
      <c r="I193" s="12" t="s">
        <v>49</v>
      </c>
      <c r="J193" s="12"/>
      <c r="K193" s="13" t="s">
        <v>45</v>
      </c>
    </row>
    <row r="194" customFormat="false" ht="54.75" hidden="false" customHeight="true" outlineLevel="0" collapsed="false">
      <c r="A194" s="12" t="n">
        <v>193</v>
      </c>
      <c r="B194" s="13" t="s">
        <v>71</v>
      </c>
      <c r="C194" s="12" t="s">
        <v>572</v>
      </c>
      <c r="D194" s="12" t="s">
        <v>575</v>
      </c>
      <c r="E194" s="12" t="s">
        <v>45</v>
      </c>
      <c r="F194" s="12" t="s">
        <v>46</v>
      </c>
      <c r="G194" s="12" t="s">
        <v>361</v>
      </c>
      <c r="H194" s="12" t="s">
        <v>576</v>
      </c>
      <c r="I194" s="12" t="s">
        <v>49</v>
      </c>
      <c r="J194" s="12"/>
      <c r="K194" s="13" t="s">
        <v>45</v>
      </c>
    </row>
    <row r="195" customFormat="false" ht="189" hidden="false" customHeight="true" outlineLevel="0" collapsed="false">
      <c r="A195" s="12" t="n">
        <v>194</v>
      </c>
      <c r="B195" s="13" t="s">
        <v>71</v>
      </c>
      <c r="C195" s="12" t="s">
        <v>577</v>
      </c>
      <c r="D195" s="12" t="s">
        <v>578</v>
      </c>
      <c r="E195" s="12" t="s">
        <v>121</v>
      </c>
      <c r="F195" s="12" t="s">
        <v>80</v>
      </c>
      <c r="G195" s="12" t="s">
        <v>47</v>
      </c>
      <c r="H195" s="12" t="s">
        <v>579</v>
      </c>
      <c r="I195" s="12" t="s">
        <v>49</v>
      </c>
      <c r="J195" s="12" t="s">
        <v>67</v>
      </c>
      <c r="K195" s="13"/>
    </row>
    <row r="196" customFormat="false" ht="41.25" hidden="false" customHeight="true" outlineLevel="0" collapsed="false">
      <c r="A196" s="12" t="n">
        <v>195</v>
      </c>
      <c r="B196" s="13" t="s">
        <v>71</v>
      </c>
      <c r="C196" s="12" t="s">
        <v>580</v>
      </c>
      <c r="D196" s="12" t="s">
        <v>581</v>
      </c>
      <c r="E196" s="12" t="s">
        <v>93</v>
      </c>
      <c r="F196" s="12" t="s">
        <v>46</v>
      </c>
      <c r="G196" s="12" t="s">
        <v>148</v>
      </c>
      <c r="H196" s="12" t="s">
        <v>582</v>
      </c>
      <c r="I196" s="12" t="s">
        <v>49</v>
      </c>
      <c r="J196" s="12" t="s">
        <v>67</v>
      </c>
      <c r="K196" s="13"/>
    </row>
    <row r="197" customFormat="false" ht="108.75" hidden="false" customHeight="true" outlineLevel="0" collapsed="false">
      <c r="A197" s="12" t="n">
        <v>196</v>
      </c>
      <c r="B197" s="13" t="s">
        <v>42</v>
      </c>
      <c r="C197" s="12" t="s">
        <v>583</v>
      </c>
      <c r="D197" s="12" t="s">
        <v>584</v>
      </c>
      <c r="E197" s="12" t="s">
        <v>62</v>
      </c>
      <c r="F197" s="12" t="s">
        <v>46</v>
      </c>
      <c r="G197" s="12" t="s">
        <v>47</v>
      </c>
      <c r="H197" s="12" t="s">
        <v>585</v>
      </c>
      <c r="I197" s="12" t="s">
        <v>586</v>
      </c>
      <c r="J197" s="12" t="s">
        <v>45</v>
      </c>
      <c r="K197" s="13"/>
    </row>
  </sheetData>
  <autoFilter ref="A1:K197"/>
  <conditionalFormatting sqref="K2:K197">
    <cfRule type="cellIs" priority="2" operator="equal" aboveAverage="0" equalAverage="0" bottom="0" percent="0" rank="0" text="" dxfId="6">
      <formula>"Done"</formula>
    </cfRule>
  </conditionalFormatting>
  <dataValidations count="2">
    <dataValidation allowBlank="true" errorStyle="stop" operator="between" showDropDown="false" showErrorMessage="false" showInputMessage="false" sqref="B2:B197" type="list">
      <formula1>"Client,Decision,System,System + paper,Paper"</formula1>
      <formula2>0</formula2>
    </dataValidation>
    <dataValidation allowBlank="true" errorStyle="stop" operator="between" showDropDown="false" showErrorMessage="false" showInputMessage="false" sqref="K2:K197" type="list">
      <formula1>"Open,In progress,Blocked,Done,Dropped"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5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11"/>
    <col collapsed="false" customWidth="true" hidden="false" outlineLevel="0" max="2" min="2" style="1" width="20"/>
    <col collapsed="false" customWidth="true" hidden="false" outlineLevel="0" max="3" min="3" style="1" width="42"/>
    <col collapsed="false" customWidth="true" hidden="false" outlineLevel="0" max="4" min="4" style="1" width="12"/>
    <col collapsed="false" customWidth="true" hidden="false" outlineLevel="0" max="5" min="5" style="1" width="30"/>
    <col collapsed="false" customWidth="true" hidden="false" outlineLevel="0" max="6" min="6" style="1" width="52"/>
    <col collapsed="false" customWidth="true" hidden="false" outlineLevel="0" max="7" min="7" style="1" width="18"/>
    <col collapsed="false" customWidth="true" hidden="false" outlineLevel="0" max="8" min="8" style="1" width="42"/>
    <col collapsed="false" customWidth="true" hidden="false" outlineLevel="0" max="9" min="9" style="1" width="10"/>
    <col collapsed="false" customWidth="true" hidden="false" outlineLevel="0" max="10" min="10" style="1" width="8"/>
    <col collapsed="false" customWidth="true" hidden="false" outlineLevel="0" max="11" min="11" style="1" width="20"/>
  </cols>
  <sheetData>
    <row r="1" customFormat="false" ht="27.75" hidden="false" customHeight="true" outlineLevel="0" collapsed="false">
      <c r="A1" s="11" t="s">
        <v>587</v>
      </c>
      <c r="B1" s="11" t="s">
        <v>588</v>
      </c>
      <c r="C1" s="11" t="s">
        <v>589</v>
      </c>
      <c r="D1" s="11" t="s">
        <v>3</v>
      </c>
      <c r="E1" s="11" t="s">
        <v>590</v>
      </c>
      <c r="F1" s="11" t="s">
        <v>591</v>
      </c>
      <c r="G1" s="11" t="s">
        <v>13</v>
      </c>
      <c r="H1" s="11" t="s">
        <v>592</v>
      </c>
      <c r="I1" s="11" t="s">
        <v>30</v>
      </c>
      <c r="J1" s="11" t="s">
        <v>32</v>
      </c>
      <c r="K1" s="11" t="s">
        <v>593</v>
      </c>
    </row>
    <row r="2" customFormat="false" ht="27.75" hidden="false" customHeight="true" outlineLevel="0" collapsed="false">
      <c r="A2" s="12" t="s">
        <v>415</v>
      </c>
      <c r="B2" s="12" t="s">
        <v>594</v>
      </c>
      <c r="C2" s="12" t="s">
        <v>595</v>
      </c>
      <c r="D2" s="15" t="s">
        <v>6</v>
      </c>
      <c r="E2" s="12" t="s">
        <v>596</v>
      </c>
      <c r="F2" s="12" t="s">
        <v>169</v>
      </c>
      <c r="G2" s="13" t="s">
        <v>49</v>
      </c>
      <c r="H2" s="12"/>
      <c r="I2" s="12" t="s">
        <v>361</v>
      </c>
      <c r="J2" s="12" t="s">
        <v>169</v>
      </c>
      <c r="K2" s="12" t="s">
        <v>597</v>
      </c>
    </row>
    <row r="3" customFormat="false" ht="54.75" hidden="false" customHeight="true" outlineLevel="0" collapsed="false">
      <c r="A3" s="12" t="s">
        <v>179</v>
      </c>
      <c r="B3" s="12" t="s">
        <v>594</v>
      </c>
      <c r="C3" s="12" t="s">
        <v>598</v>
      </c>
      <c r="D3" s="16" t="s">
        <v>7</v>
      </c>
      <c r="E3" s="12" t="s">
        <v>599</v>
      </c>
      <c r="F3" s="12" t="s">
        <v>600</v>
      </c>
      <c r="G3" s="13" t="s">
        <v>14</v>
      </c>
      <c r="H3" s="12" t="s">
        <v>601</v>
      </c>
      <c r="I3" s="12" t="s">
        <v>148</v>
      </c>
      <c r="J3" s="12" t="s">
        <v>46</v>
      </c>
      <c r="K3" s="12" t="s">
        <v>597</v>
      </c>
    </row>
    <row r="4" customFormat="false" ht="15" hidden="false" customHeight="true" outlineLevel="0" collapsed="false">
      <c r="A4" s="12" t="s">
        <v>602</v>
      </c>
      <c r="B4" s="12" t="s">
        <v>594</v>
      </c>
      <c r="C4" s="12" t="s">
        <v>603</v>
      </c>
      <c r="D4" s="15" t="s">
        <v>6</v>
      </c>
      <c r="E4" s="12" t="s">
        <v>604</v>
      </c>
      <c r="F4" s="12" t="s">
        <v>169</v>
      </c>
      <c r="G4" s="13" t="s">
        <v>49</v>
      </c>
      <c r="H4" s="12"/>
      <c r="I4" s="12" t="s">
        <v>361</v>
      </c>
      <c r="J4" s="12" t="s">
        <v>169</v>
      </c>
      <c r="K4" s="12" t="s">
        <v>597</v>
      </c>
    </row>
    <row r="5" customFormat="false" ht="54.75" hidden="false" customHeight="true" outlineLevel="0" collapsed="false">
      <c r="A5" s="12" t="s">
        <v>436</v>
      </c>
      <c r="B5" s="12" t="s">
        <v>594</v>
      </c>
      <c r="C5" s="12" t="s">
        <v>605</v>
      </c>
      <c r="D5" s="15" t="s">
        <v>6</v>
      </c>
      <c r="E5" s="12" t="s">
        <v>606</v>
      </c>
      <c r="F5" s="12" t="s">
        <v>607</v>
      </c>
      <c r="G5" s="13" t="s">
        <v>49</v>
      </c>
      <c r="H5" s="12" t="s">
        <v>608</v>
      </c>
      <c r="I5" s="12" t="s">
        <v>361</v>
      </c>
      <c r="J5" s="12" t="s">
        <v>169</v>
      </c>
      <c r="K5" s="12" t="s">
        <v>597</v>
      </c>
    </row>
    <row r="6" customFormat="false" ht="54.75" hidden="false" customHeight="true" outlineLevel="0" collapsed="false">
      <c r="A6" s="12" t="s">
        <v>609</v>
      </c>
      <c r="B6" s="12" t="s">
        <v>594</v>
      </c>
      <c r="C6" s="12" t="s">
        <v>610</v>
      </c>
      <c r="D6" s="15" t="s">
        <v>7</v>
      </c>
      <c r="E6" s="12" t="s">
        <v>611</v>
      </c>
      <c r="F6" s="12" t="s">
        <v>612</v>
      </c>
      <c r="G6" s="13" t="s">
        <v>18</v>
      </c>
      <c r="H6" s="12" t="s">
        <v>613</v>
      </c>
      <c r="I6" s="12" t="s">
        <v>148</v>
      </c>
      <c r="J6" s="12" t="s">
        <v>80</v>
      </c>
      <c r="K6" s="12" t="s">
        <v>614</v>
      </c>
    </row>
    <row r="7" customFormat="false" ht="27.75" hidden="false" customHeight="true" outlineLevel="0" collapsed="false">
      <c r="A7" s="12" t="s">
        <v>615</v>
      </c>
      <c r="B7" s="12" t="s">
        <v>594</v>
      </c>
      <c r="C7" s="12" t="s">
        <v>616</v>
      </c>
      <c r="D7" s="15" t="s">
        <v>6</v>
      </c>
      <c r="E7" s="12" t="s">
        <v>617</v>
      </c>
      <c r="F7" s="12" t="s">
        <v>618</v>
      </c>
      <c r="G7" s="13" t="s">
        <v>49</v>
      </c>
      <c r="H7" s="12"/>
      <c r="I7" s="12" t="s">
        <v>361</v>
      </c>
      <c r="J7" s="12" t="s">
        <v>169</v>
      </c>
      <c r="K7" s="12" t="s">
        <v>597</v>
      </c>
    </row>
    <row r="8" customFormat="false" ht="27.75" hidden="false" customHeight="true" outlineLevel="0" collapsed="false">
      <c r="A8" s="12" t="s">
        <v>619</v>
      </c>
      <c r="B8" s="12" t="s">
        <v>594</v>
      </c>
      <c r="C8" s="12" t="s">
        <v>620</v>
      </c>
      <c r="D8" s="15" t="s">
        <v>6</v>
      </c>
      <c r="E8" s="12" t="s">
        <v>621</v>
      </c>
      <c r="F8" s="12" t="s">
        <v>622</v>
      </c>
      <c r="G8" s="13" t="s">
        <v>15</v>
      </c>
      <c r="H8" s="12" t="s">
        <v>623</v>
      </c>
      <c r="I8" s="12" t="s">
        <v>361</v>
      </c>
      <c r="J8" s="12" t="s">
        <v>169</v>
      </c>
      <c r="K8" s="12" t="s">
        <v>624</v>
      </c>
    </row>
    <row r="9" customFormat="false" ht="68.25" hidden="false" customHeight="true" outlineLevel="0" collapsed="false">
      <c r="A9" s="12" t="s">
        <v>625</v>
      </c>
      <c r="B9" s="12" t="s">
        <v>626</v>
      </c>
      <c r="C9" s="12" t="s">
        <v>627</v>
      </c>
      <c r="D9" s="15" t="s">
        <v>6</v>
      </c>
      <c r="E9" s="12" t="s">
        <v>628</v>
      </c>
      <c r="F9" s="12" t="s">
        <v>629</v>
      </c>
      <c r="G9" s="13" t="s">
        <v>49</v>
      </c>
      <c r="H9" s="12" t="s">
        <v>630</v>
      </c>
      <c r="I9" s="12" t="s">
        <v>361</v>
      </c>
      <c r="J9" s="12" t="s">
        <v>46</v>
      </c>
      <c r="K9" s="12" t="s">
        <v>631</v>
      </c>
    </row>
    <row r="10" customFormat="false" ht="41.25" hidden="false" customHeight="true" outlineLevel="0" collapsed="false">
      <c r="A10" s="12" t="s">
        <v>403</v>
      </c>
      <c r="B10" s="12" t="s">
        <v>632</v>
      </c>
      <c r="C10" s="12" t="s">
        <v>633</v>
      </c>
      <c r="D10" s="15" t="s">
        <v>6</v>
      </c>
      <c r="E10" s="12" t="s">
        <v>634</v>
      </c>
      <c r="F10" s="12" t="s">
        <v>635</v>
      </c>
      <c r="G10" s="13" t="s">
        <v>49</v>
      </c>
      <c r="H10" s="12" t="s">
        <v>636</v>
      </c>
      <c r="I10" s="12" t="s">
        <v>361</v>
      </c>
      <c r="J10" s="12" t="s">
        <v>46</v>
      </c>
      <c r="K10" s="12" t="s">
        <v>624</v>
      </c>
    </row>
    <row r="11" customFormat="false" ht="27.75" hidden="false" customHeight="true" outlineLevel="0" collapsed="false">
      <c r="A11" s="12" t="s">
        <v>637</v>
      </c>
      <c r="B11" s="12" t="s">
        <v>632</v>
      </c>
      <c r="C11" s="12" t="s">
        <v>638</v>
      </c>
      <c r="D11" s="15" t="s">
        <v>6</v>
      </c>
      <c r="E11" s="12" t="s">
        <v>639</v>
      </c>
      <c r="F11" s="12" t="s">
        <v>640</v>
      </c>
      <c r="G11" s="13" t="s">
        <v>49</v>
      </c>
      <c r="H11" s="12" t="s">
        <v>641</v>
      </c>
      <c r="I11" s="12" t="s">
        <v>148</v>
      </c>
      <c r="J11" s="12" t="s">
        <v>46</v>
      </c>
      <c r="K11" s="12" t="s">
        <v>624</v>
      </c>
    </row>
    <row r="12" customFormat="false" ht="27.75" hidden="false" customHeight="true" outlineLevel="0" collapsed="false">
      <c r="A12" s="12" t="s">
        <v>642</v>
      </c>
      <c r="B12" s="12" t="s">
        <v>632</v>
      </c>
      <c r="C12" s="12" t="s">
        <v>643</v>
      </c>
      <c r="D12" s="15" t="s">
        <v>6</v>
      </c>
      <c r="E12" s="12" t="s">
        <v>644</v>
      </c>
      <c r="F12" s="12" t="s">
        <v>645</v>
      </c>
      <c r="G12" s="13" t="s">
        <v>49</v>
      </c>
      <c r="H12" s="12" t="s">
        <v>646</v>
      </c>
      <c r="I12" s="12" t="s">
        <v>47</v>
      </c>
      <c r="J12" s="12" t="s">
        <v>46</v>
      </c>
      <c r="K12" s="12" t="s">
        <v>647</v>
      </c>
    </row>
    <row r="13" customFormat="false" ht="15" hidden="false" customHeight="true" outlineLevel="0" collapsed="false">
      <c r="A13" s="12" t="s">
        <v>648</v>
      </c>
      <c r="B13" s="12" t="s">
        <v>632</v>
      </c>
      <c r="C13" s="12" t="s">
        <v>649</v>
      </c>
      <c r="D13" s="15" t="s">
        <v>6</v>
      </c>
      <c r="E13" s="12" t="s">
        <v>650</v>
      </c>
      <c r="F13" s="12" t="s">
        <v>169</v>
      </c>
      <c r="G13" s="13" t="s">
        <v>49</v>
      </c>
      <c r="H13" s="12"/>
      <c r="I13" s="12" t="s">
        <v>361</v>
      </c>
      <c r="J13" s="12" t="s">
        <v>169</v>
      </c>
      <c r="K13" s="12" t="s">
        <v>624</v>
      </c>
    </row>
    <row r="14" customFormat="false" ht="41.25" hidden="false" customHeight="true" outlineLevel="0" collapsed="false">
      <c r="A14" s="12" t="s">
        <v>651</v>
      </c>
      <c r="B14" s="12" t="s">
        <v>652</v>
      </c>
      <c r="C14" s="12" t="s">
        <v>653</v>
      </c>
      <c r="D14" s="15" t="s">
        <v>6</v>
      </c>
      <c r="E14" s="12" t="s">
        <v>654</v>
      </c>
      <c r="F14" s="12" t="s">
        <v>655</v>
      </c>
      <c r="G14" s="13" t="s">
        <v>49</v>
      </c>
      <c r="H14" s="12" t="s">
        <v>656</v>
      </c>
      <c r="I14" s="12" t="s">
        <v>361</v>
      </c>
      <c r="J14" s="12" t="s">
        <v>46</v>
      </c>
      <c r="K14" s="12" t="s">
        <v>624</v>
      </c>
    </row>
    <row r="15" customFormat="false" ht="41.25" hidden="false" customHeight="true" outlineLevel="0" collapsed="false">
      <c r="A15" s="12" t="s">
        <v>213</v>
      </c>
      <c r="B15" s="12" t="s">
        <v>657</v>
      </c>
      <c r="C15" s="12" t="s">
        <v>658</v>
      </c>
      <c r="D15" s="15" t="s">
        <v>6</v>
      </c>
      <c r="E15" s="12" t="s">
        <v>659</v>
      </c>
      <c r="F15" s="12" t="s">
        <v>660</v>
      </c>
      <c r="G15" s="13" t="s">
        <v>49</v>
      </c>
      <c r="H15" s="12" t="s">
        <v>661</v>
      </c>
      <c r="I15" s="12" t="s">
        <v>148</v>
      </c>
      <c r="J15" s="12" t="s">
        <v>46</v>
      </c>
      <c r="K15" s="12" t="s">
        <v>662</v>
      </c>
    </row>
    <row r="16" customFormat="false" ht="15" hidden="false" customHeight="true" outlineLevel="0" collapsed="false">
      <c r="A16" s="12" t="s">
        <v>663</v>
      </c>
      <c r="B16" s="12" t="s">
        <v>657</v>
      </c>
      <c r="C16" s="12" t="s">
        <v>664</v>
      </c>
      <c r="D16" s="15" t="s">
        <v>6</v>
      </c>
      <c r="E16" s="12" t="s">
        <v>665</v>
      </c>
      <c r="F16" s="12" t="s">
        <v>169</v>
      </c>
      <c r="G16" s="13" t="s">
        <v>49</v>
      </c>
      <c r="H16" s="12"/>
      <c r="I16" s="12" t="s">
        <v>361</v>
      </c>
      <c r="J16" s="12" t="s">
        <v>169</v>
      </c>
      <c r="K16" s="12" t="s">
        <v>666</v>
      </c>
    </row>
    <row r="17" customFormat="false" ht="15" hidden="false" customHeight="true" outlineLevel="0" collapsed="false">
      <c r="A17" s="12" t="s">
        <v>667</v>
      </c>
      <c r="B17" s="12" t="s">
        <v>657</v>
      </c>
      <c r="C17" s="12" t="s">
        <v>668</v>
      </c>
      <c r="D17" s="15" t="s">
        <v>6</v>
      </c>
      <c r="E17" s="12" t="s">
        <v>669</v>
      </c>
      <c r="F17" s="12" t="s">
        <v>169</v>
      </c>
      <c r="G17" s="13" t="s">
        <v>49</v>
      </c>
      <c r="H17" s="12"/>
      <c r="I17" s="12" t="s">
        <v>361</v>
      </c>
      <c r="J17" s="12" t="s">
        <v>169</v>
      </c>
      <c r="K17" s="12" t="s">
        <v>666</v>
      </c>
    </row>
    <row r="18" customFormat="false" ht="15" hidden="false" customHeight="true" outlineLevel="0" collapsed="false">
      <c r="A18" s="12" t="s">
        <v>670</v>
      </c>
      <c r="B18" s="12" t="s">
        <v>671</v>
      </c>
      <c r="C18" s="12" t="s">
        <v>672</v>
      </c>
      <c r="D18" s="15" t="s">
        <v>6</v>
      </c>
      <c r="E18" s="12" t="s">
        <v>673</v>
      </c>
      <c r="F18" s="12" t="s">
        <v>169</v>
      </c>
      <c r="G18" s="13" t="s">
        <v>49</v>
      </c>
      <c r="H18" s="12"/>
      <c r="I18" s="12" t="s">
        <v>361</v>
      </c>
      <c r="J18" s="12" t="s">
        <v>169</v>
      </c>
      <c r="K18" s="12" t="s">
        <v>666</v>
      </c>
    </row>
    <row r="19" customFormat="false" ht="27.75" hidden="false" customHeight="true" outlineLevel="0" collapsed="false">
      <c r="A19" s="12" t="s">
        <v>674</v>
      </c>
      <c r="B19" s="12" t="s">
        <v>671</v>
      </c>
      <c r="C19" s="12" t="s">
        <v>675</v>
      </c>
      <c r="D19" s="15" t="s">
        <v>6</v>
      </c>
      <c r="E19" s="12" t="s">
        <v>676</v>
      </c>
      <c r="F19" s="12" t="s">
        <v>677</v>
      </c>
      <c r="G19" s="13" t="s">
        <v>49</v>
      </c>
      <c r="H19" s="12" t="s">
        <v>678</v>
      </c>
      <c r="I19" s="12" t="s">
        <v>361</v>
      </c>
      <c r="J19" s="12" t="s">
        <v>169</v>
      </c>
      <c r="K19" s="12" t="s">
        <v>666</v>
      </c>
    </row>
    <row r="20" customFormat="false" ht="27.75" hidden="false" customHeight="true" outlineLevel="0" collapsed="false">
      <c r="A20" s="12" t="s">
        <v>679</v>
      </c>
      <c r="B20" s="12" t="s">
        <v>671</v>
      </c>
      <c r="C20" s="12" t="s">
        <v>680</v>
      </c>
      <c r="D20" s="15" t="s">
        <v>6</v>
      </c>
      <c r="E20" s="12" t="s">
        <v>681</v>
      </c>
      <c r="F20" s="12" t="s">
        <v>169</v>
      </c>
      <c r="G20" s="13" t="s">
        <v>49</v>
      </c>
      <c r="H20" s="12"/>
      <c r="I20" s="12" t="s">
        <v>361</v>
      </c>
      <c r="J20" s="12" t="s">
        <v>169</v>
      </c>
      <c r="K20" s="12" t="s">
        <v>666</v>
      </c>
    </row>
    <row r="21" customFormat="false" ht="27.75" hidden="false" customHeight="true" outlineLevel="0" collapsed="false">
      <c r="A21" s="12" t="s">
        <v>682</v>
      </c>
      <c r="B21" s="12" t="s">
        <v>671</v>
      </c>
      <c r="C21" s="12" t="s">
        <v>683</v>
      </c>
      <c r="D21" s="15" t="s">
        <v>6</v>
      </c>
      <c r="E21" s="12" t="s">
        <v>684</v>
      </c>
      <c r="F21" s="12" t="s">
        <v>685</v>
      </c>
      <c r="G21" s="13" t="s">
        <v>14</v>
      </c>
      <c r="H21" s="12" t="s">
        <v>686</v>
      </c>
      <c r="I21" s="12" t="s">
        <v>361</v>
      </c>
      <c r="J21" s="12" t="s">
        <v>46</v>
      </c>
      <c r="K21" s="12" t="s">
        <v>687</v>
      </c>
    </row>
    <row r="22" customFormat="false" ht="15" hidden="false" customHeight="true" outlineLevel="0" collapsed="false">
      <c r="A22" s="12" t="s">
        <v>688</v>
      </c>
      <c r="B22" s="12" t="s">
        <v>689</v>
      </c>
      <c r="C22" s="12" t="s">
        <v>690</v>
      </c>
      <c r="D22" s="15" t="s">
        <v>6</v>
      </c>
      <c r="E22" s="12" t="s">
        <v>691</v>
      </c>
      <c r="F22" s="12" t="s">
        <v>169</v>
      </c>
      <c r="G22" s="13" t="s">
        <v>49</v>
      </c>
      <c r="H22" s="12"/>
      <c r="I22" s="12" t="s">
        <v>361</v>
      </c>
      <c r="J22" s="12" t="s">
        <v>169</v>
      </c>
      <c r="K22" s="12" t="s">
        <v>666</v>
      </c>
    </row>
    <row r="23" customFormat="false" ht="27.75" hidden="false" customHeight="true" outlineLevel="0" collapsed="false">
      <c r="A23" s="12" t="s">
        <v>692</v>
      </c>
      <c r="B23" s="12" t="s">
        <v>689</v>
      </c>
      <c r="C23" s="12" t="s">
        <v>693</v>
      </c>
      <c r="D23" s="15" t="s">
        <v>6</v>
      </c>
      <c r="E23" s="12" t="s">
        <v>694</v>
      </c>
      <c r="F23" s="12" t="s">
        <v>169</v>
      </c>
      <c r="G23" s="13" t="s">
        <v>49</v>
      </c>
      <c r="H23" s="12"/>
      <c r="I23" s="12" t="s">
        <v>361</v>
      </c>
      <c r="J23" s="12" t="s">
        <v>169</v>
      </c>
      <c r="K23" s="12" t="s">
        <v>666</v>
      </c>
    </row>
    <row r="24" customFormat="false" ht="15" hidden="false" customHeight="true" outlineLevel="0" collapsed="false">
      <c r="A24" s="12" t="s">
        <v>695</v>
      </c>
      <c r="B24" s="12" t="s">
        <v>689</v>
      </c>
      <c r="C24" s="12" t="s">
        <v>696</v>
      </c>
      <c r="D24" s="15" t="s">
        <v>6</v>
      </c>
      <c r="E24" s="12" t="s">
        <v>697</v>
      </c>
      <c r="F24" s="12" t="s">
        <v>169</v>
      </c>
      <c r="G24" s="13" t="s">
        <v>49</v>
      </c>
      <c r="H24" s="12"/>
      <c r="I24" s="12" t="s">
        <v>361</v>
      </c>
      <c r="J24" s="12" t="s">
        <v>169</v>
      </c>
      <c r="K24" s="12" t="s">
        <v>698</v>
      </c>
    </row>
    <row r="25" customFormat="false" ht="68.25" hidden="false" customHeight="true" outlineLevel="0" collapsed="false">
      <c r="A25" s="12" t="s">
        <v>699</v>
      </c>
      <c r="B25" s="12" t="s">
        <v>689</v>
      </c>
      <c r="C25" s="12" t="s">
        <v>700</v>
      </c>
      <c r="D25" s="15" t="s">
        <v>6</v>
      </c>
      <c r="E25" s="12" t="s">
        <v>701</v>
      </c>
      <c r="F25" s="12" t="s">
        <v>702</v>
      </c>
      <c r="G25" s="13" t="s">
        <v>49</v>
      </c>
      <c r="H25" s="12" t="s">
        <v>703</v>
      </c>
      <c r="I25" s="12" t="s">
        <v>47</v>
      </c>
      <c r="J25" s="12" t="s">
        <v>80</v>
      </c>
      <c r="K25" s="12" t="s">
        <v>704</v>
      </c>
    </row>
    <row r="26" customFormat="false" ht="41.25" hidden="false" customHeight="true" outlineLevel="0" collapsed="false">
      <c r="A26" s="12" t="s">
        <v>705</v>
      </c>
      <c r="B26" s="12" t="s">
        <v>689</v>
      </c>
      <c r="C26" s="12" t="s">
        <v>706</v>
      </c>
      <c r="D26" s="15" t="s">
        <v>6</v>
      </c>
      <c r="E26" s="12" t="s">
        <v>707</v>
      </c>
      <c r="F26" s="12" t="s">
        <v>708</v>
      </c>
      <c r="G26" s="13" t="s">
        <v>49</v>
      </c>
      <c r="H26" s="12" t="s">
        <v>709</v>
      </c>
      <c r="I26" s="12" t="s">
        <v>47</v>
      </c>
      <c r="J26" s="12" t="s">
        <v>80</v>
      </c>
      <c r="K26" s="12" t="s">
        <v>698</v>
      </c>
    </row>
    <row r="27" customFormat="false" ht="54.75" hidden="false" customHeight="true" outlineLevel="0" collapsed="false">
      <c r="A27" s="12" t="s">
        <v>400</v>
      </c>
      <c r="B27" s="12" t="s">
        <v>689</v>
      </c>
      <c r="C27" s="12" t="s">
        <v>710</v>
      </c>
      <c r="D27" s="15" t="s">
        <v>6</v>
      </c>
      <c r="E27" s="12" t="s">
        <v>711</v>
      </c>
      <c r="F27" s="12" t="s">
        <v>712</v>
      </c>
      <c r="G27" s="13" t="s">
        <v>49</v>
      </c>
      <c r="H27" s="12" t="s">
        <v>713</v>
      </c>
      <c r="I27" s="12" t="s">
        <v>361</v>
      </c>
      <c r="J27" s="12" t="s">
        <v>46</v>
      </c>
      <c r="K27" s="12" t="s">
        <v>698</v>
      </c>
    </row>
    <row r="28" customFormat="false" ht="27.75" hidden="false" customHeight="true" outlineLevel="0" collapsed="false">
      <c r="A28" s="12" t="s">
        <v>714</v>
      </c>
      <c r="B28" s="12" t="s">
        <v>689</v>
      </c>
      <c r="C28" s="12" t="s">
        <v>715</v>
      </c>
      <c r="D28" s="15" t="s">
        <v>6</v>
      </c>
      <c r="E28" s="12" t="s">
        <v>716</v>
      </c>
      <c r="F28" s="12" t="s">
        <v>169</v>
      </c>
      <c r="G28" s="13" t="s">
        <v>49</v>
      </c>
      <c r="H28" s="12"/>
      <c r="I28" s="12" t="s">
        <v>361</v>
      </c>
      <c r="J28" s="12" t="s">
        <v>169</v>
      </c>
      <c r="K28" s="12" t="s">
        <v>698</v>
      </c>
    </row>
    <row r="29" customFormat="false" ht="27.75" hidden="false" customHeight="true" outlineLevel="0" collapsed="false">
      <c r="A29" s="12" t="s">
        <v>85</v>
      </c>
      <c r="B29" s="12" t="s">
        <v>717</v>
      </c>
      <c r="C29" s="12" t="s">
        <v>718</v>
      </c>
      <c r="D29" s="16" t="s">
        <v>7</v>
      </c>
      <c r="E29" s="12" t="s">
        <v>719</v>
      </c>
      <c r="F29" s="12" t="s">
        <v>720</v>
      </c>
      <c r="G29" s="13" t="s">
        <v>14</v>
      </c>
      <c r="H29" s="12" t="s">
        <v>721</v>
      </c>
      <c r="I29" s="12" t="s">
        <v>47</v>
      </c>
      <c r="J29" s="12" t="s">
        <v>46</v>
      </c>
      <c r="K29" s="12" t="s">
        <v>698</v>
      </c>
    </row>
    <row r="30" customFormat="false" ht="15" hidden="false" customHeight="true" outlineLevel="0" collapsed="false">
      <c r="A30" s="12" t="s">
        <v>722</v>
      </c>
      <c r="B30" s="12" t="s">
        <v>717</v>
      </c>
      <c r="C30" s="12" t="s">
        <v>723</v>
      </c>
      <c r="D30" s="15" t="s">
        <v>6</v>
      </c>
      <c r="E30" s="12" t="s">
        <v>694</v>
      </c>
      <c r="F30" s="12" t="s">
        <v>169</v>
      </c>
      <c r="G30" s="13" t="s">
        <v>49</v>
      </c>
      <c r="H30" s="12"/>
      <c r="I30" s="12" t="s">
        <v>361</v>
      </c>
      <c r="J30" s="12" t="s">
        <v>169</v>
      </c>
      <c r="K30" s="12" t="s">
        <v>698</v>
      </c>
    </row>
    <row r="31" customFormat="false" ht="27.75" hidden="false" customHeight="true" outlineLevel="0" collapsed="false">
      <c r="A31" s="12" t="s">
        <v>724</v>
      </c>
      <c r="B31" s="12" t="s">
        <v>717</v>
      </c>
      <c r="C31" s="12" t="s">
        <v>725</v>
      </c>
      <c r="D31" s="15" t="s">
        <v>6</v>
      </c>
      <c r="E31" s="12" t="s">
        <v>726</v>
      </c>
      <c r="F31" s="12" t="s">
        <v>169</v>
      </c>
      <c r="G31" s="13" t="s">
        <v>49</v>
      </c>
      <c r="H31" s="12"/>
      <c r="I31" s="12" t="s">
        <v>361</v>
      </c>
      <c r="J31" s="12" t="s">
        <v>169</v>
      </c>
      <c r="K31" s="12" t="s">
        <v>698</v>
      </c>
    </row>
    <row r="32" customFormat="false" ht="41.25" hidden="false" customHeight="true" outlineLevel="0" collapsed="false">
      <c r="A32" s="12" t="s">
        <v>421</v>
      </c>
      <c r="B32" s="12" t="s">
        <v>727</v>
      </c>
      <c r="C32" s="12" t="s">
        <v>728</v>
      </c>
      <c r="D32" s="17" t="s">
        <v>6</v>
      </c>
      <c r="E32" s="12" t="s">
        <v>701</v>
      </c>
      <c r="F32" s="12" t="s">
        <v>729</v>
      </c>
      <c r="G32" s="13" t="s">
        <v>49</v>
      </c>
      <c r="H32" s="12" t="s">
        <v>730</v>
      </c>
      <c r="I32" s="12" t="s">
        <v>148</v>
      </c>
      <c r="J32" s="12" t="s">
        <v>169</v>
      </c>
      <c r="K32" s="12" t="s">
        <v>731</v>
      </c>
    </row>
    <row r="33" customFormat="false" ht="15" hidden="false" customHeight="true" outlineLevel="0" collapsed="false">
      <c r="A33" s="12" t="s">
        <v>732</v>
      </c>
      <c r="B33" s="12" t="s">
        <v>727</v>
      </c>
      <c r="C33" s="12" t="s">
        <v>733</v>
      </c>
      <c r="D33" s="15" t="s">
        <v>6</v>
      </c>
      <c r="E33" s="12" t="s">
        <v>734</v>
      </c>
      <c r="F33" s="12" t="s">
        <v>169</v>
      </c>
      <c r="G33" s="13" t="s">
        <v>49</v>
      </c>
      <c r="H33" s="12"/>
      <c r="I33" s="12" t="s">
        <v>361</v>
      </c>
      <c r="J33" s="12" t="s">
        <v>169</v>
      </c>
      <c r="K33" s="12" t="s">
        <v>731</v>
      </c>
    </row>
    <row r="34" customFormat="false" ht="54.75" hidden="false" customHeight="true" outlineLevel="0" collapsed="false">
      <c r="A34" s="12" t="s">
        <v>735</v>
      </c>
      <c r="B34" s="12" t="s">
        <v>727</v>
      </c>
      <c r="C34" s="12" t="s">
        <v>736</v>
      </c>
      <c r="D34" s="15" t="s">
        <v>6</v>
      </c>
      <c r="E34" s="12" t="s">
        <v>737</v>
      </c>
      <c r="F34" s="12" t="s">
        <v>738</v>
      </c>
      <c r="G34" s="13" t="s">
        <v>49</v>
      </c>
      <c r="H34" s="12" t="s">
        <v>739</v>
      </c>
      <c r="I34" s="12" t="s">
        <v>361</v>
      </c>
      <c r="J34" s="12" t="s">
        <v>46</v>
      </c>
      <c r="K34" s="12" t="s">
        <v>731</v>
      </c>
    </row>
    <row r="35" customFormat="false" ht="41.25" hidden="false" customHeight="true" outlineLevel="0" collapsed="false">
      <c r="A35" s="12" t="s">
        <v>740</v>
      </c>
      <c r="B35" s="12" t="s">
        <v>727</v>
      </c>
      <c r="C35" s="12" t="s">
        <v>741</v>
      </c>
      <c r="D35" s="15" t="s">
        <v>6</v>
      </c>
      <c r="E35" s="12" t="s">
        <v>742</v>
      </c>
      <c r="F35" s="12" t="s">
        <v>743</v>
      </c>
      <c r="G35" s="13" t="s">
        <v>49</v>
      </c>
      <c r="H35" s="12" t="s">
        <v>744</v>
      </c>
      <c r="I35" s="12" t="s">
        <v>47</v>
      </c>
      <c r="J35" s="12" t="s">
        <v>46</v>
      </c>
      <c r="K35" s="12" t="s">
        <v>745</v>
      </c>
    </row>
    <row r="36" customFormat="false" ht="41.25" hidden="false" customHeight="true" outlineLevel="0" collapsed="false">
      <c r="A36" s="12" t="s">
        <v>746</v>
      </c>
      <c r="B36" s="12" t="s">
        <v>747</v>
      </c>
      <c r="C36" s="12" t="s">
        <v>748</v>
      </c>
      <c r="D36" s="15" t="s">
        <v>6</v>
      </c>
      <c r="E36" s="12" t="s">
        <v>749</v>
      </c>
      <c r="F36" s="12" t="s">
        <v>750</v>
      </c>
      <c r="G36" s="13" t="s">
        <v>49</v>
      </c>
      <c r="H36" s="12" t="s">
        <v>751</v>
      </c>
      <c r="I36" s="12" t="s">
        <v>47</v>
      </c>
      <c r="J36" s="12" t="s">
        <v>65</v>
      </c>
      <c r="K36" s="12" t="s">
        <v>752</v>
      </c>
    </row>
    <row r="37" customFormat="false" ht="81.75" hidden="false" customHeight="true" outlineLevel="0" collapsed="false">
      <c r="A37" s="12" t="s">
        <v>753</v>
      </c>
      <c r="B37" s="12" t="s">
        <v>747</v>
      </c>
      <c r="C37" s="12" t="s">
        <v>754</v>
      </c>
      <c r="D37" s="17" t="s">
        <v>8</v>
      </c>
      <c r="E37" s="12" t="s">
        <v>169</v>
      </c>
      <c r="F37" s="12" t="s">
        <v>755</v>
      </c>
      <c r="G37" s="13" t="s">
        <v>18</v>
      </c>
      <c r="H37" s="12" t="s">
        <v>756</v>
      </c>
      <c r="I37" s="12" t="s">
        <v>47</v>
      </c>
      <c r="J37" s="12" t="s">
        <v>65</v>
      </c>
      <c r="K37" s="12" t="s">
        <v>757</v>
      </c>
    </row>
    <row r="38" customFormat="false" ht="41.25" hidden="false" customHeight="true" outlineLevel="0" collapsed="false">
      <c r="A38" s="12" t="s">
        <v>758</v>
      </c>
      <c r="B38" s="12" t="s">
        <v>747</v>
      </c>
      <c r="C38" s="12" t="s">
        <v>759</v>
      </c>
      <c r="D38" s="15" t="s">
        <v>6</v>
      </c>
      <c r="E38" s="12" t="s">
        <v>169</v>
      </c>
      <c r="F38" s="12" t="s">
        <v>760</v>
      </c>
      <c r="G38" s="13" t="s">
        <v>49</v>
      </c>
      <c r="H38" s="12" t="s">
        <v>756</v>
      </c>
      <c r="I38" s="12" t="s">
        <v>47</v>
      </c>
      <c r="J38" s="12" t="s">
        <v>65</v>
      </c>
      <c r="K38" s="12" t="s">
        <v>731</v>
      </c>
    </row>
    <row r="39" customFormat="false" ht="27.75" hidden="false" customHeight="true" outlineLevel="0" collapsed="false">
      <c r="A39" s="12" t="s">
        <v>761</v>
      </c>
      <c r="B39" s="12" t="s">
        <v>747</v>
      </c>
      <c r="C39" s="12" t="s">
        <v>762</v>
      </c>
      <c r="D39" s="15" t="s">
        <v>6</v>
      </c>
      <c r="E39" s="12" t="s">
        <v>169</v>
      </c>
      <c r="F39" s="12" t="s">
        <v>763</v>
      </c>
      <c r="G39" s="13" t="s">
        <v>49</v>
      </c>
      <c r="H39" s="12" t="s">
        <v>756</v>
      </c>
      <c r="I39" s="12" t="s">
        <v>148</v>
      </c>
      <c r="J39" s="12" t="s">
        <v>46</v>
      </c>
      <c r="K39" s="12" t="s">
        <v>731</v>
      </c>
    </row>
    <row r="40" customFormat="false" ht="95.25" hidden="false" customHeight="true" outlineLevel="0" collapsed="false">
      <c r="A40" s="12" t="s">
        <v>764</v>
      </c>
      <c r="B40" s="12" t="s">
        <v>765</v>
      </c>
      <c r="C40" s="12" t="s">
        <v>766</v>
      </c>
      <c r="D40" s="15" t="s">
        <v>6</v>
      </c>
      <c r="E40" s="12" t="s">
        <v>767</v>
      </c>
      <c r="F40" s="12" t="s">
        <v>768</v>
      </c>
      <c r="G40" s="13" t="s">
        <v>49</v>
      </c>
      <c r="H40" s="12" t="s">
        <v>769</v>
      </c>
      <c r="I40" s="12" t="s">
        <v>148</v>
      </c>
      <c r="J40" s="12" t="s">
        <v>80</v>
      </c>
      <c r="K40" s="12" t="s">
        <v>770</v>
      </c>
    </row>
    <row r="41" customFormat="false" ht="27.75" hidden="false" customHeight="true" outlineLevel="0" collapsed="false">
      <c r="A41" s="12" t="s">
        <v>405</v>
      </c>
      <c r="B41" s="12" t="s">
        <v>771</v>
      </c>
      <c r="C41" s="12" t="s">
        <v>772</v>
      </c>
      <c r="D41" s="15" t="s">
        <v>6</v>
      </c>
      <c r="E41" s="12" t="s">
        <v>773</v>
      </c>
      <c r="F41" s="12" t="s">
        <v>774</v>
      </c>
      <c r="G41" s="13" t="s">
        <v>49</v>
      </c>
      <c r="H41" s="12" t="s">
        <v>775</v>
      </c>
      <c r="I41" s="12" t="s">
        <v>361</v>
      </c>
      <c r="J41" s="12" t="s">
        <v>46</v>
      </c>
      <c r="K41" s="12" t="s">
        <v>776</v>
      </c>
    </row>
    <row r="42" customFormat="false" ht="27.75" hidden="false" customHeight="true" outlineLevel="0" collapsed="false">
      <c r="A42" s="12" t="s">
        <v>777</v>
      </c>
      <c r="B42" s="12" t="s">
        <v>771</v>
      </c>
      <c r="C42" s="12" t="s">
        <v>778</v>
      </c>
      <c r="D42" s="15" t="s">
        <v>6</v>
      </c>
      <c r="E42" s="12" t="s">
        <v>779</v>
      </c>
      <c r="F42" s="12" t="s">
        <v>169</v>
      </c>
      <c r="G42" s="13" t="s">
        <v>49</v>
      </c>
      <c r="H42" s="12"/>
      <c r="I42" s="12" t="s">
        <v>361</v>
      </c>
      <c r="J42" s="12" t="s">
        <v>169</v>
      </c>
      <c r="K42" s="12" t="s">
        <v>776</v>
      </c>
    </row>
    <row r="43" customFormat="false" ht="27.75" hidden="false" customHeight="true" outlineLevel="0" collapsed="false">
      <c r="A43" s="12" t="s">
        <v>780</v>
      </c>
      <c r="B43" s="12" t="s">
        <v>771</v>
      </c>
      <c r="C43" s="12" t="s">
        <v>781</v>
      </c>
      <c r="D43" s="15" t="s">
        <v>6</v>
      </c>
      <c r="E43" s="12" t="s">
        <v>169</v>
      </c>
      <c r="F43" s="12" t="s">
        <v>782</v>
      </c>
      <c r="G43" s="13" t="s">
        <v>49</v>
      </c>
      <c r="H43" s="12" t="s">
        <v>783</v>
      </c>
      <c r="I43" s="12" t="s">
        <v>361</v>
      </c>
      <c r="J43" s="12" t="s">
        <v>46</v>
      </c>
      <c r="K43" s="12" t="s">
        <v>776</v>
      </c>
    </row>
    <row r="44" customFormat="false" ht="27.75" hidden="false" customHeight="true" outlineLevel="0" collapsed="false">
      <c r="A44" s="12" t="s">
        <v>784</v>
      </c>
      <c r="B44" s="12" t="s">
        <v>785</v>
      </c>
      <c r="C44" s="12" t="s">
        <v>786</v>
      </c>
      <c r="D44" s="15" t="s">
        <v>6</v>
      </c>
      <c r="E44" s="12" t="s">
        <v>787</v>
      </c>
      <c r="F44" s="12" t="s">
        <v>169</v>
      </c>
      <c r="G44" s="13" t="s">
        <v>49</v>
      </c>
      <c r="H44" s="12"/>
      <c r="I44" s="12" t="s">
        <v>361</v>
      </c>
      <c r="J44" s="12" t="s">
        <v>169</v>
      </c>
      <c r="K44" s="12" t="s">
        <v>776</v>
      </c>
    </row>
    <row r="45" customFormat="false" ht="27.75" hidden="false" customHeight="true" outlineLevel="0" collapsed="false">
      <c r="A45" s="12" t="s">
        <v>788</v>
      </c>
      <c r="B45" s="12" t="s">
        <v>785</v>
      </c>
      <c r="C45" s="12" t="s">
        <v>789</v>
      </c>
      <c r="D45" s="15" t="s">
        <v>7</v>
      </c>
      <c r="E45" s="12" t="s">
        <v>790</v>
      </c>
      <c r="F45" s="12" t="s">
        <v>791</v>
      </c>
      <c r="G45" s="13" t="s">
        <v>18</v>
      </c>
      <c r="H45" s="12"/>
      <c r="I45" s="12" t="s">
        <v>148</v>
      </c>
      <c r="J45" s="12" t="s">
        <v>80</v>
      </c>
      <c r="K45" s="12" t="s">
        <v>792</v>
      </c>
    </row>
    <row r="46" customFormat="false" ht="15" hidden="false" customHeight="true" outlineLevel="0" collapsed="false">
      <c r="A46" s="12" t="s">
        <v>793</v>
      </c>
      <c r="B46" s="12" t="s">
        <v>785</v>
      </c>
      <c r="C46" s="12" t="s">
        <v>794</v>
      </c>
      <c r="D46" s="15" t="s">
        <v>6</v>
      </c>
      <c r="E46" s="12" t="s">
        <v>606</v>
      </c>
      <c r="F46" s="12" t="s">
        <v>795</v>
      </c>
      <c r="G46" s="13" t="s">
        <v>49</v>
      </c>
      <c r="H46" s="12"/>
      <c r="I46" s="12" t="s">
        <v>361</v>
      </c>
      <c r="J46" s="12" t="s">
        <v>169</v>
      </c>
      <c r="K46" s="12" t="s">
        <v>776</v>
      </c>
    </row>
    <row r="47" customFormat="false" ht="15" hidden="false" customHeight="true" outlineLevel="0" collapsed="false">
      <c r="A47" s="12" t="s">
        <v>796</v>
      </c>
      <c r="B47" s="12" t="s">
        <v>785</v>
      </c>
      <c r="C47" s="12" t="s">
        <v>797</v>
      </c>
      <c r="D47" s="15" t="s">
        <v>6</v>
      </c>
      <c r="E47" s="12" t="s">
        <v>621</v>
      </c>
      <c r="F47" s="12" t="s">
        <v>169</v>
      </c>
      <c r="G47" s="13" t="s">
        <v>49</v>
      </c>
      <c r="H47" s="12"/>
      <c r="I47" s="12" t="s">
        <v>361</v>
      </c>
      <c r="J47" s="12" t="s">
        <v>169</v>
      </c>
      <c r="K47" s="12" t="s">
        <v>776</v>
      </c>
    </row>
    <row r="48" customFormat="false" ht="27.75" hidden="false" customHeight="true" outlineLevel="0" collapsed="false">
      <c r="A48" s="12" t="s">
        <v>409</v>
      </c>
      <c r="B48" s="12" t="s">
        <v>798</v>
      </c>
      <c r="C48" s="12" t="s">
        <v>799</v>
      </c>
      <c r="D48" s="15" t="s">
        <v>6</v>
      </c>
      <c r="E48" s="12" t="s">
        <v>800</v>
      </c>
      <c r="F48" s="12" t="s">
        <v>801</v>
      </c>
      <c r="G48" s="13" t="s">
        <v>14</v>
      </c>
      <c r="H48" s="12" t="s">
        <v>802</v>
      </c>
      <c r="I48" s="12" t="s">
        <v>361</v>
      </c>
      <c r="J48" s="12" t="s">
        <v>46</v>
      </c>
      <c r="K48" s="12" t="s">
        <v>803</v>
      </c>
    </row>
    <row r="49" customFormat="false" ht="68.25" hidden="false" customHeight="true" outlineLevel="0" collapsed="false">
      <c r="A49" s="12" t="s">
        <v>804</v>
      </c>
      <c r="B49" s="12" t="s">
        <v>805</v>
      </c>
      <c r="C49" s="12" t="s">
        <v>806</v>
      </c>
      <c r="D49" s="15" t="s">
        <v>6</v>
      </c>
      <c r="E49" s="12" t="s">
        <v>807</v>
      </c>
      <c r="F49" s="12" t="s">
        <v>808</v>
      </c>
      <c r="G49" s="13" t="s">
        <v>49</v>
      </c>
      <c r="H49" s="12" t="s">
        <v>809</v>
      </c>
      <c r="I49" s="12" t="s">
        <v>361</v>
      </c>
      <c r="J49" s="12" t="s">
        <v>46</v>
      </c>
      <c r="K49" s="12" t="s">
        <v>803</v>
      </c>
    </row>
    <row r="50" customFormat="false" ht="27.75" hidden="false" customHeight="true" outlineLevel="0" collapsed="false">
      <c r="A50" s="12" t="s">
        <v>381</v>
      </c>
      <c r="B50" s="12" t="s">
        <v>810</v>
      </c>
      <c r="C50" s="12" t="s">
        <v>811</v>
      </c>
      <c r="D50" s="15" t="s">
        <v>6</v>
      </c>
      <c r="E50" s="12" t="s">
        <v>812</v>
      </c>
      <c r="F50" s="12" t="s">
        <v>813</v>
      </c>
      <c r="G50" s="13" t="s">
        <v>49</v>
      </c>
      <c r="H50" s="12" t="s">
        <v>814</v>
      </c>
      <c r="I50" s="12" t="s">
        <v>361</v>
      </c>
      <c r="J50" s="12" t="s">
        <v>46</v>
      </c>
      <c r="K50" s="12" t="s">
        <v>803</v>
      </c>
    </row>
    <row r="51" customFormat="false" ht="15" hidden="false" customHeight="true" outlineLevel="0" collapsed="false">
      <c r="A51" s="12" t="s">
        <v>815</v>
      </c>
      <c r="B51" s="12" t="s">
        <v>810</v>
      </c>
      <c r="C51" s="12" t="s">
        <v>816</v>
      </c>
      <c r="D51" s="15" t="s">
        <v>6</v>
      </c>
      <c r="E51" s="12" t="s">
        <v>817</v>
      </c>
      <c r="F51" s="12" t="s">
        <v>818</v>
      </c>
      <c r="G51" s="13" t="s">
        <v>49</v>
      </c>
      <c r="H51" s="12"/>
      <c r="I51" s="12" t="s">
        <v>361</v>
      </c>
      <c r="J51" s="12" t="s">
        <v>169</v>
      </c>
      <c r="K51" s="12" t="s">
        <v>803</v>
      </c>
    </row>
    <row r="52" customFormat="false" ht="15" hidden="false" customHeight="true" outlineLevel="0" collapsed="false">
      <c r="A52" s="12" t="s">
        <v>819</v>
      </c>
      <c r="B52" s="12" t="s">
        <v>810</v>
      </c>
      <c r="C52" s="12" t="s">
        <v>820</v>
      </c>
      <c r="D52" s="15" t="s">
        <v>6</v>
      </c>
      <c r="E52" s="12" t="s">
        <v>821</v>
      </c>
      <c r="F52" s="12" t="s">
        <v>169</v>
      </c>
      <c r="G52" s="13" t="s">
        <v>49</v>
      </c>
      <c r="H52" s="12"/>
      <c r="I52" s="12" t="s">
        <v>361</v>
      </c>
      <c r="J52" s="12" t="s">
        <v>169</v>
      </c>
      <c r="K52" s="12" t="s">
        <v>803</v>
      </c>
    </row>
    <row r="53" customFormat="false" ht="15" hidden="false" customHeight="true" outlineLevel="0" collapsed="false">
      <c r="A53" s="12" t="s">
        <v>822</v>
      </c>
      <c r="B53" s="12" t="s">
        <v>810</v>
      </c>
      <c r="C53" s="12" t="s">
        <v>823</v>
      </c>
      <c r="D53" s="15" t="s">
        <v>6</v>
      </c>
      <c r="E53" s="12" t="s">
        <v>821</v>
      </c>
      <c r="F53" s="12" t="s">
        <v>169</v>
      </c>
      <c r="G53" s="13" t="s">
        <v>49</v>
      </c>
      <c r="H53" s="12"/>
      <c r="I53" s="12" t="s">
        <v>361</v>
      </c>
      <c r="J53" s="12" t="s">
        <v>169</v>
      </c>
      <c r="K53" s="12" t="s">
        <v>803</v>
      </c>
    </row>
    <row r="54" customFormat="false" ht="27.75" hidden="false" customHeight="true" outlineLevel="0" collapsed="false">
      <c r="A54" s="12" t="s">
        <v>824</v>
      </c>
      <c r="B54" s="12" t="s">
        <v>825</v>
      </c>
      <c r="C54" s="12" t="s">
        <v>826</v>
      </c>
      <c r="D54" s="15" t="s">
        <v>6</v>
      </c>
      <c r="E54" s="12" t="s">
        <v>827</v>
      </c>
      <c r="F54" s="12" t="s">
        <v>169</v>
      </c>
      <c r="G54" s="13" t="s">
        <v>49</v>
      </c>
      <c r="H54" s="12"/>
      <c r="I54" s="12" t="s">
        <v>361</v>
      </c>
      <c r="J54" s="12" t="s">
        <v>169</v>
      </c>
      <c r="K54" s="12" t="s">
        <v>803</v>
      </c>
    </row>
    <row r="55" customFormat="false" ht="15" hidden="false" customHeight="true" outlineLevel="0" collapsed="false">
      <c r="A55" s="12" t="s">
        <v>828</v>
      </c>
      <c r="B55" s="12" t="s">
        <v>825</v>
      </c>
      <c r="C55" s="12" t="s">
        <v>829</v>
      </c>
      <c r="D55" s="15" t="s">
        <v>6</v>
      </c>
      <c r="E55" s="12" t="s">
        <v>830</v>
      </c>
      <c r="F55" s="12" t="s">
        <v>831</v>
      </c>
      <c r="G55" s="13" t="s">
        <v>49</v>
      </c>
      <c r="H55" s="12"/>
      <c r="I55" s="12" t="s">
        <v>361</v>
      </c>
      <c r="J55" s="12" t="s">
        <v>169</v>
      </c>
      <c r="K55" s="12" t="s">
        <v>832</v>
      </c>
    </row>
    <row r="56" customFormat="false" ht="15" hidden="false" customHeight="true" outlineLevel="0" collapsed="false">
      <c r="A56" s="12" t="s">
        <v>833</v>
      </c>
      <c r="B56" s="12" t="s">
        <v>825</v>
      </c>
      <c r="C56" s="12" t="s">
        <v>834</v>
      </c>
      <c r="D56" s="15" t="s">
        <v>6</v>
      </c>
      <c r="E56" s="12" t="s">
        <v>830</v>
      </c>
      <c r="F56" s="12" t="s">
        <v>169</v>
      </c>
      <c r="G56" s="13" t="s">
        <v>49</v>
      </c>
      <c r="H56" s="12"/>
      <c r="I56" s="12" t="s">
        <v>361</v>
      </c>
      <c r="J56" s="12" t="s">
        <v>169</v>
      </c>
      <c r="K56" s="12" t="s">
        <v>832</v>
      </c>
    </row>
    <row r="57" customFormat="false" ht="27.75" hidden="false" customHeight="true" outlineLevel="0" collapsed="false">
      <c r="A57" s="12" t="s">
        <v>835</v>
      </c>
      <c r="B57" s="12" t="s">
        <v>825</v>
      </c>
      <c r="C57" s="12" t="s">
        <v>836</v>
      </c>
      <c r="D57" s="15" t="s">
        <v>6</v>
      </c>
      <c r="E57" s="12" t="s">
        <v>830</v>
      </c>
      <c r="F57" s="12" t="s">
        <v>837</v>
      </c>
      <c r="G57" s="13" t="s">
        <v>49</v>
      </c>
      <c r="H57" s="12"/>
      <c r="I57" s="12" t="s">
        <v>361</v>
      </c>
      <c r="J57" s="12" t="s">
        <v>169</v>
      </c>
      <c r="K57" s="12" t="s">
        <v>832</v>
      </c>
    </row>
    <row r="58" customFormat="false" ht="27.75" hidden="false" customHeight="true" outlineLevel="0" collapsed="false">
      <c r="A58" s="12" t="s">
        <v>838</v>
      </c>
      <c r="B58" s="12" t="s">
        <v>825</v>
      </c>
      <c r="C58" s="12" t="s">
        <v>839</v>
      </c>
      <c r="D58" s="15" t="s">
        <v>6</v>
      </c>
      <c r="E58" s="12" t="s">
        <v>840</v>
      </c>
      <c r="F58" s="12" t="s">
        <v>169</v>
      </c>
      <c r="G58" s="13" t="s">
        <v>49</v>
      </c>
      <c r="H58" s="12"/>
      <c r="I58" s="12" t="s">
        <v>361</v>
      </c>
      <c r="J58" s="12" t="s">
        <v>169</v>
      </c>
      <c r="K58" s="12" t="s">
        <v>832</v>
      </c>
    </row>
    <row r="59" customFormat="false" ht="27.75" hidden="false" customHeight="true" outlineLevel="0" collapsed="false">
      <c r="A59" s="12" t="s">
        <v>841</v>
      </c>
      <c r="B59" s="12" t="s">
        <v>825</v>
      </c>
      <c r="C59" s="12" t="s">
        <v>842</v>
      </c>
      <c r="D59" s="15" t="s">
        <v>6</v>
      </c>
      <c r="E59" s="12" t="s">
        <v>169</v>
      </c>
      <c r="F59" s="12" t="s">
        <v>843</v>
      </c>
      <c r="G59" s="13" t="s">
        <v>49</v>
      </c>
      <c r="H59" s="12" t="s">
        <v>844</v>
      </c>
      <c r="I59" s="12" t="s">
        <v>148</v>
      </c>
      <c r="J59" s="12" t="s">
        <v>80</v>
      </c>
      <c r="K59" s="12" t="s">
        <v>832</v>
      </c>
    </row>
    <row r="60" customFormat="false" ht="15" hidden="false" customHeight="true" outlineLevel="0" collapsed="false">
      <c r="A60" s="12" t="s">
        <v>845</v>
      </c>
      <c r="B60" s="12" t="s">
        <v>846</v>
      </c>
      <c r="C60" s="12" t="s">
        <v>847</v>
      </c>
      <c r="D60" s="15" t="s">
        <v>6</v>
      </c>
      <c r="E60" s="12" t="s">
        <v>848</v>
      </c>
      <c r="F60" s="12" t="s">
        <v>169</v>
      </c>
      <c r="G60" s="13" t="s">
        <v>49</v>
      </c>
      <c r="H60" s="12"/>
      <c r="I60" s="12" t="s">
        <v>361</v>
      </c>
      <c r="J60" s="12" t="s">
        <v>169</v>
      </c>
      <c r="K60" s="12" t="s">
        <v>832</v>
      </c>
    </row>
    <row r="61" customFormat="false" ht="15" hidden="false" customHeight="true" outlineLevel="0" collapsed="false">
      <c r="A61" s="12" t="s">
        <v>849</v>
      </c>
      <c r="B61" s="12" t="s">
        <v>846</v>
      </c>
      <c r="C61" s="12" t="s">
        <v>850</v>
      </c>
      <c r="D61" s="15" t="s">
        <v>6</v>
      </c>
      <c r="E61" s="12" t="s">
        <v>851</v>
      </c>
      <c r="F61" s="12" t="s">
        <v>169</v>
      </c>
      <c r="G61" s="13" t="s">
        <v>49</v>
      </c>
      <c r="H61" s="12"/>
      <c r="I61" s="12" t="s">
        <v>361</v>
      </c>
      <c r="J61" s="12" t="s">
        <v>169</v>
      </c>
      <c r="K61" s="12" t="s">
        <v>832</v>
      </c>
    </row>
    <row r="62" customFormat="false" ht="68.25" hidden="false" customHeight="true" outlineLevel="0" collapsed="false">
      <c r="A62" s="12" t="s">
        <v>852</v>
      </c>
      <c r="B62" s="12" t="s">
        <v>846</v>
      </c>
      <c r="C62" s="12" t="s">
        <v>853</v>
      </c>
      <c r="D62" s="15" t="s">
        <v>6</v>
      </c>
      <c r="E62" s="12" t="s">
        <v>848</v>
      </c>
      <c r="F62" s="12" t="s">
        <v>854</v>
      </c>
      <c r="G62" s="13" t="s">
        <v>49</v>
      </c>
      <c r="H62" s="12" t="s">
        <v>855</v>
      </c>
      <c r="I62" s="12" t="s">
        <v>148</v>
      </c>
      <c r="J62" s="12" t="s">
        <v>46</v>
      </c>
      <c r="K62" s="12" t="s">
        <v>856</v>
      </c>
    </row>
    <row r="63" customFormat="false" ht="27.75" hidden="false" customHeight="true" outlineLevel="0" collapsed="false">
      <c r="A63" s="12" t="s">
        <v>857</v>
      </c>
      <c r="B63" s="12" t="s">
        <v>858</v>
      </c>
      <c r="C63" s="12" t="s">
        <v>859</v>
      </c>
      <c r="D63" s="15" t="s">
        <v>6</v>
      </c>
      <c r="E63" s="12" t="s">
        <v>860</v>
      </c>
      <c r="F63" s="12" t="s">
        <v>169</v>
      </c>
      <c r="G63" s="13" t="s">
        <v>49</v>
      </c>
      <c r="H63" s="12"/>
      <c r="I63" s="12" t="s">
        <v>361</v>
      </c>
      <c r="J63" s="12" t="s">
        <v>169</v>
      </c>
      <c r="K63" s="12" t="s">
        <v>861</v>
      </c>
    </row>
    <row r="64" customFormat="false" ht="15" hidden="false" customHeight="true" outlineLevel="0" collapsed="false">
      <c r="A64" s="12" t="s">
        <v>862</v>
      </c>
      <c r="B64" s="12" t="s">
        <v>858</v>
      </c>
      <c r="C64" s="12" t="s">
        <v>863</v>
      </c>
      <c r="D64" s="15" t="s">
        <v>6</v>
      </c>
      <c r="E64" s="12" t="s">
        <v>860</v>
      </c>
      <c r="F64" s="12" t="s">
        <v>169</v>
      </c>
      <c r="G64" s="13" t="s">
        <v>49</v>
      </c>
      <c r="H64" s="12"/>
      <c r="I64" s="12" t="s">
        <v>361</v>
      </c>
      <c r="J64" s="12" t="s">
        <v>169</v>
      </c>
      <c r="K64" s="12" t="s">
        <v>861</v>
      </c>
    </row>
    <row r="65" customFormat="false" ht="15" hidden="false" customHeight="true" outlineLevel="0" collapsed="false">
      <c r="A65" s="12" t="s">
        <v>864</v>
      </c>
      <c r="B65" s="12" t="s">
        <v>865</v>
      </c>
      <c r="C65" s="12" t="s">
        <v>866</v>
      </c>
      <c r="D65" s="15" t="s">
        <v>6</v>
      </c>
      <c r="E65" s="12" t="s">
        <v>867</v>
      </c>
      <c r="F65" s="12" t="s">
        <v>868</v>
      </c>
      <c r="G65" s="13" t="s">
        <v>49</v>
      </c>
      <c r="H65" s="12"/>
      <c r="I65" s="12" t="s">
        <v>361</v>
      </c>
      <c r="J65" s="12" t="s">
        <v>169</v>
      </c>
      <c r="K65" s="12" t="s">
        <v>861</v>
      </c>
    </row>
    <row r="66" customFormat="false" ht="15" hidden="false" customHeight="true" outlineLevel="0" collapsed="false">
      <c r="A66" s="12" t="s">
        <v>869</v>
      </c>
      <c r="B66" s="12" t="s">
        <v>870</v>
      </c>
      <c r="C66" s="12" t="s">
        <v>871</v>
      </c>
      <c r="D66" s="15" t="s">
        <v>6</v>
      </c>
      <c r="E66" s="12" t="s">
        <v>817</v>
      </c>
      <c r="F66" s="12" t="s">
        <v>169</v>
      </c>
      <c r="G66" s="13" t="s">
        <v>49</v>
      </c>
      <c r="H66" s="12"/>
      <c r="I66" s="12" t="s">
        <v>361</v>
      </c>
      <c r="J66" s="12" t="s">
        <v>169</v>
      </c>
      <c r="K66" s="12" t="s">
        <v>861</v>
      </c>
    </row>
    <row r="67" customFormat="false" ht="81.75" hidden="false" customHeight="true" outlineLevel="0" collapsed="false">
      <c r="A67" s="12" t="s">
        <v>872</v>
      </c>
      <c r="B67" s="12" t="s">
        <v>870</v>
      </c>
      <c r="C67" s="12" t="s">
        <v>873</v>
      </c>
      <c r="D67" s="15" t="s">
        <v>6</v>
      </c>
      <c r="E67" s="12" t="s">
        <v>874</v>
      </c>
      <c r="F67" s="12" t="s">
        <v>875</v>
      </c>
      <c r="G67" s="13" t="s">
        <v>49</v>
      </c>
      <c r="H67" s="12" t="s">
        <v>876</v>
      </c>
      <c r="I67" s="12" t="s">
        <v>47</v>
      </c>
      <c r="J67" s="12" t="s">
        <v>46</v>
      </c>
      <c r="K67" s="12" t="s">
        <v>877</v>
      </c>
    </row>
    <row r="68" customFormat="false" ht="54.75" hidden="false" customHeight="true" outlineLevel="0" collapsed="false">
      <c r="A68" s="12" t="s">
        <v>878</v>
      </c>
      <c r="B68" s="12" t="s">
        <v>870</v>
      </c>
      <c r="C68" s="12" t="s">
        <v>879</v>
      </c>
      <c r="D68" s="15" t="s">
        <v>6</v>
      </c>
      <c r="E68" s="12" t="s">
        <v>169</v>
      </c>
      <c r="F68" s="12" t="s">
        <v>880</v>
      </c>
      <c r="G68" s="13" t="s">
        <v>49</v>
      </c>
      <c r="H68" s="12" t="s">
        <v>881</v>
      </c>
      <c r="I68" s="12" t="s">
        <v>148</v>
      </c>
      <c r="J68" s="12" t="s">
        <v>80</v>
      </c>
      <c r="K68" s="12" t="s">
        <v>882</v>
      </c>
    </row>
    <row r="69" customFormat="false" ht="27.75" hidden="false" customHeight="true" outlineLevel="0" collapsed="false">
      <c r="A69" s="12" t="s">
        <v>883</v>
      </c>
      <c r="B69" s="12" t="s">
        <v>884</v>
      </c>
      <c r="C69" s="12" t="s">
        <v>885</v>
      </c>
      <c r="D69" s="15" t="s">
        <v>6</v>
      </c>
      <c r="E69" s="12" t="s">
        <v>886</v>
      </c>
      <c r="F69" s="12" t="s">
        <v>887</v>
      </c>
      <c r="G69" s="13" t="s">
        <v>49</v>
      </c>
      <c r="H69" s="12" t="s">
        <v>888</v>
      </c>
      <c r="I69" s="12" t="s">
        <v>361</v>
      </c>
      <c r="J69" s="12" t="s">
        <v>46</v>
      </c>
      <c r="K69" s="12" t="s">
        <v>861</v>
      </c>
    </row>
    <row r="70" customFormat="false" ht="15" hidden="false" customHeight="true" outlineLevel="0" collapsed="false">
      <c r="A70" s="12" t="s">
        <v>889</v>
      </c>
      <c r="B70" s="12" t="s">
        <v>884</v>
      </c>
      <c r="C70" s="12" t="s">
        <v>890</v>
      </c>
      <c r="D70" s="15" t="s">
        <v>6</v>
      </c>
      <c r="E70" s="12" t="s">
        <v>891</v>
      </c>
      <c r="F70" s="12" t="s">
        <v>169</v>
      </c>
      <c r="G70" s="13" t="s">
        <v>49</v>
      </c>
      <c r="H70" s="12"/>
      <c r="I70" s="12" t="s">
        <v>361</v>
      </c>
      <c r="J70" s="12" t="s">
        <v>169</v>
      </c>
      <c r="K70" s="12" t="s">
        <v>892</v>
      </c>
    </row>
    <row r="71" customFormat="false" ht="41.25" hidden="false" customHeight="true" outlineLevel="0" collapsed="false">
      <c r="A71" s="12" t="s">
        <v>392</v>
      </c>
      <c r="B71" s="12" t="s">
        <v>884</v>
      </c>
      <c r="C71" s="12" t="s">
        <v>893</v>
      </c>
      <c r="D71" s="15" t="s">
        <v>6</v>
      </c>
      <c r="E71" s="12" t="s">
        <v>894</v>
      </c>
      <c r="F71" s="12" t="s">
        <v>895</v>
      </c>
      <c r="G71" s="13" t="s">
        <v>49</v>
      </c>
      <c r="H71" s="12" t="s">
        <v>739</v>
      </c>
      <c r="I71" s="12" t="s">
        <v>361</v>
      </c>
      <c r="J71" s="12" t="s">
        <v>46</v>
      </c>
      <c r="K71" s="12" t="s">
        <v>892</v>
      </c>
    </row>
    <row r="72" customFormat="false" ht="68.25" hidden="false" customHeight="true" outlineLevel="0" collapsed="false">
      <c r="A72" s="12" t="s">
        <v>896</v>
      </c>
      <c r="B72" s="12" t="s">
        <v>897</v>
      </c>
      <c r="C72" s="12" t="s">
        <v>898</v>
      </c>
      <c r="D72" s="15" t="s">
        <v>6</v>
      </c>
      <c r="E72" s="12" t="s">
        <v>899</v>
      </c>
      <c r="F72" s="12" t="s">
        <v>900</v>
      </c>
      <c r="G72" s="13" t="s">
        <v>49</v>
      </c>
      <c r="H72" s="12" t="s">
        <v>901</v>
      </c>
      <c r="I72" s="12" t="s">
        <v>47</v>
      </c>
      <c r="J72" s="12" t="s">
        <v>46</v>
      </c>
      <c r="K72" s="12" t="s">
        <v>902</v>
      </c>
    </row>
    <row r="73" customFormat="false" ht="15" hidden="false" customHeight="true" outlineLevel="0" collapsed="false">
      <c r="A73" s="12" t="s">
        <v>903</v>
      </c>
      <c r="B73" s="12" t="s">
        <v>897</v>
      </c>
      <c r="C73" s="12" t="s">
        <v>904</v>
      </c>
      <c r="D73" s="15" t="s">
        <v>6</v>
      </c>
      <c r="E73" s="12" t="s">
        <v>886</v>
      </c>
      <c r="F73" s="12" t="s">
        <v>905</v>
      </c>
      <c r="G73" s="13" t="s">
        <v>49</v>
      </c>
      <c r="H73" s="12"/>
      <c r="I73" s="12" t="s">
        <v>361</v>
      </c>
      <c r="J73" s="12" t="s">
        <v>169</v>
      </c>
      <c r="K73" s="12" t="s">
        <v>892</v>
      </c>
    </row>
    <row r="74" customFormat="false" ht="54.75" hidden="false" customHeight="true" outlineLevel="0" collapsed="false">
      <c r="A74" s="12" t="s">
        <v>906</v>
      </c>
      <c r="B74" s="12" t="s">
        <v>897</v>
      </c>
      <c r="C74" s="12" t="s">
        <v>907</v>
      </c>
      <c r="D74" s="16" t="s">
        <v>7</v>
      </c>
      <c r="E74" s="12" t="s">
        <v>886</v>
      </c>
      <c r="F74" s="12" t="s">
        <v>908</v>
      </c>
      <c r="G74" s="13" t="s">
        <v>16</v>
      </c>
      <c r="H74" s="12" t="s">
        <v>909</v>
      </c>
      <c r="I74" s="12" t="s">
        <v>148</v>
      </c>
      <c r="J74" s="12" t="s">
        <v>46</v>
      </c>
      <c r="K74" s="12" t="s">
        <v>910</v>
      </c>
    </row>
    <row r="75" customFormat="false" ht="15" hidden="false" customHeight="true" outlineLevel="0" collapsed="false">
      <c r="A75" s="12" t="s">
        <v>911</v>
      </c>
      <c r="B75" s="12" t="s">
        <v>912</v>
      </c>
      <c r="C75" s="12" t="s">
        <v>913</v>
      </c>
      <c r="D75" s="15" t="s">
        <v>6</v>
      </c>
      <c r="E75" s="12" t="s">
        <v>914</v>
      </c>
      <c r="F75" s="12" t="s">
        <v>169</v>
      </c>
      <c r="G75" s="13" t="s">
        <v>49</v>
      </c>
      <c r="H75" s="12"/>
      <c r="I75" s="12" t="s">
        <v>361</v>
      </c>
      <c r="J75" s="12" t="s">
        <v>169</v>
      </c>
      <c r="K75" s="12" t="s">
        <v>892</v>
      </c>
    </row>
    <row r="76" customFormat="false" ht="15" hidden="false" customHeight="true" outlineLevel="0" collapsed="false">
      <c r="A76" s="12" t="s">
        <v>915</v>
      </c>
      <c r="B76" s="12" t="s">
        <v>912</v>
      </c>
      <c r="C76" s="12" t="s">
        <v>916</v>
      </c>
      <c r="D76" s="15" t="s">
        <v>6</v>
      </c>
      <c r="E76" s="12" t="s">
        <v>917</v>
      </c>
      <c r="F76" s="12" t="s">
        <v>169</v>
      </c>
      <c r="G76" s="13" t="s">
        <v>49</v>
      </c>
      <c r="H76" s="12"/>
      <c r="I76" s="12" t="s">
        <v>361</v>
      </c>
      <c r="J76" s="12" t="s">
        <v>169</v>
      </c>
      <c r="K76" s="12" t="s">
        <v>892</v>
      </c>
    </row>
    <row r="77" customFormat="false" ht="15" hidden="false" customHeight="true" outlineLevel="0" collapsed="false">
      <c r="A77" s="12" t="s">
        <v>918</v>
      </c>
      <c r="B77" s="12" t="s">
        <v>912</v>
      </c>
      <c r="C77" s="12" t="s">
        <v>919</v>
      </c>
      <c r="D77" s="15" t="s">
        <v>6</v>
      </c>
      <c r="E77" s="12" t="s">
        <v>707</v>
      </c>
      <c r="F77" s="12" t="s">
        <v>169</v>
      </c>
      <c r="G77" s="13" t="s">
        <v>49</v>
      </c>
      <c r="H77" s="12"/>
      <c r="I77" s="12" t="s">
        <v>361</v>
      </c>
      <c r="J77" s="12" t="s">
        <v>169</v>
      </c>
      <c r="K77" s="12" t="s">
        <v>892</v>
      </c>
    </row>
    <row r="78" customFormat="false" ht="54.75" hidden="false" customHeight="true" outlineLevel="0" collapsed="false">
      <c r="A78" s="12" t="s">
        <v>920</v>
      </c>
      <c r="B78" s="12" t="s">
        <v>921</v>
      </c>
      <c r="C78" s="12" t="s">
        <v>922</v>
      </c>
      <c r="D78" s="15" t="s">
        <v>6</v>
      </c>
      <c r="E78" s="12" t="s">
        <v>726</v>
      </c>
      <c r="F78" s="12" t="s">
        <v>923</v>
      </c>
      <c r="G78" s="13" t="s">
        <v>49</v>
      </c>
      <c r="H78" s="12" t="s">
        <v>924</v>
      </c>
      <c r="I78" s="12" t="s">
        <v>148</v>
      </c>
      <c r="J78" s="12" t="s">
        <v>80</v>
      </c>
      <c r="K78" s="12" t="s">
        <v>892</v>
      </c>
    </row>
    <row r="79" customFormat="false" ht="68.25" hidden="false" customHeight="true" outlineLevel="0" collapsed="false">
      <c r="A79" s="12" t="s">
        <v>925</v>
      </c>
      <c r="B79" s="12" t="s">
        <v>921</v>
      </c>
      <c r="C79" s="12" t="s">
        <v>926</v>
      </c>
      <c r="D79" s="15" t="s">
        <v>6</v>
      </c>
      <c r="E79" s="12" t="s">
        <v>707</v>
      </c>
      <c r="F79" s="12" t="s">
        <v>927</v>
      </c>
      <c r="G79" s="13" t="s">
        <v>49</v>
      </c>
      <c r="H79" s="12" t="s">
        <v>709</v>
      </c>
      <c r="I79" s="12" t="s">
        <v>148</v>
      </c>
      <c r="J79" s="12" t="s">
        <v>46</v>
      </c>
      <c r="K79" s="12" t="s">
        <v>892</v>
      </c>
    </row>
    <row r="80" customFormat="false" ht="41.25" hidden="false" customHeight="true" outlineLevel="0" collapsed="false">
      <c r="A80" s="12" t="s">
        <v>928</v>
      </c>
      <c r="B80" s="12" t="s">
        <v>921</v>
      </c>
      <c r="C80" s="12" t="s">
        <v>929</v>
      </c>
      <c r="D80" s="15" t="s">
        <v>6</v>
      </c>
      <c r="E80" s="12" t="s">
        <v>169</v>
      </c>
      <c r="F80" s="12" t="s">
        <v>930</v>
      </c>
      <c r="G80" s="13" t="s">
        <v>49</v>
      </c>
      <c r="H80" s="12" t="s">
        <v>709</v>
      </c>
      <c r="I80" s="12" t="s">
        <v>47</v>
      </c>
      <c r="J80" s="12" t="s">
        <v>80</v>
      </c>
      <c r="K80" s="12" t="s">
        <v>931</v>
      </c>
    </row>
    <row r="81" customFormat="false" ht="15" hidden="false" customHeight="true" outlineLevel="0" collapsed="false">
      <c r="A81" s="12" t="s">
        <v>932</v>
      </c>
      <c r="B81" s="12" t="s">
        <v>921</v>
      </c>
      <c r="C81" s="12" t="s">
        <v>933</v>
      </c>
      <c r="D81" s="15" t="s">
        <v>6</v>
      </c>
      <c r="E81" s="12" t="s">
        <v>697</v>
      </c>
      <c r="F81" s="12" t="s">
        <v>169</v>
      </c>
      <c r="G81" s="13" t="s">
        <v>49</v>
      </c>
      <c r="H81" s="12"/>
      <c r="I81" s="12" t="s">
        <v>361</v>
      </c>
      <c r="J81" s="12" t="s">
        <v>169</v>
      </c>
      <c r="K81" s="12" t="s">
        <v>931</v>
      </c>
    </row>
    <row r="82" customFormat="false" ht="41.25" hidden="false" customHeight="true" outlineLevel="0" collapsed="false">
      <c r="A82" s="12" t="s">
        <v>934</v>
      </c>
      <c r="B82" s="12" t="s">
        <v>921</v>
      </c>
      <c r="C82" s="12" t="s">
        <v>935</v>
      </c>
      <c r="D82" s="15" t="s">
        <v>6</v>
      </c>
      <c r="E82" s="12" t="s">
        <v>169</v>
      </c>
      <c r="F82" s="12" t="s">
        <v>936</v>
      </c>
      <c r="G82" s="13" t="s">
        <v>49</v>
      </c>
      <c r="H82" s="12" t="s">
        <v>739</v>
      </c>
      <c r="I82" s="12" t="s">
        <v>148</v>
      </c>
      <c r="J82" s="12" t="s">
        <v>46</v>
      </c>
      <c r="K82" s="12" t="s">
        <v>931</v>
      </c>
    </row>
    <row r="83" customFormat="false" ht="27.75" hidden="false" customHeight="true" outlineLevel="0" collapsed="false">
      <c r="A83" s="12" t="s">
        <v>937</v>
      </c>
      <c r="B83" s="12" t="s">
        <v>938</v>
      </c>
      <c r="C83" s="12" t="s">
        <v>939</v>
      </c>
      <c r="D83" s="15" t="s">
        <v>6</v>
      </c>
      <c r="E83" s="12" t="s">
        <v>940</v>
      </c>
      <c r="F83" s="12" t="s">
        <v>169</v>
      </c>
      <c r="G83" s="13" t="s">
        <v>49</v>
      </c>
      <c r="H83" s="12"/>
      <c r="I83" s="12" t="s">
        <v>361</v>
      </c>
      <c r="J83" s="12" t="s">
        <v>169</v>
      </c>
      <c r="K83" s="12" t="s">
        <v>931</v>
      </c>
    </row>
    <row r="84" customFormat="false" ht="54.75" hidden="false" customHeight="true" outlineLevel="0" collapsed="false">
      <c r="A84" s="12" t="s">
        <v>941</v>
      </c>
      <c r="B84" s="12" t="s">
        <v>938</v>
      </c>
      <c r="C84" s="12" t="s">
        <v>942</v>
      </c>
      <c r="D84" s="15" t="s">
        <v>6</v>
      </c>
      <c r="E84" s="12" t="s">
        <v>169</v>
      </c>
      <c r="F84" s="12" t="s">
        <v>943</v>
      </c>
      <c r="G84" s="13" t="s">
        <v>49</v>
      </c>
      <c r="H84" s="12" t="s">
        <v>944</v>
      </c>
      <c r="I84" s="12" t="s">
        <v>47</v>
      </c>
      <c r="J84" s="12" t="s">
        <v>80</v>
      </c>
      <c r="K84" s="12" t="s">
        <v>945</v>
      </c>
    </row>
    <row r="85" customFormat="false" ht="27.75" hidden="false" customHeight="true" outlineLevel="0" collapsed="false">
      <c r="A85" s="12" t="s">
        <v>197</v>
      </c>
      <c r="B85" s="12" t="s">
        <v>938</v>
      </c>
      <c r="C85" s="12" t="s">
        <v>946</v>
      </c>
      <c r="D85" s="15" t="s">
        <v>6</v>
      </c>
      <c r="E85" s="12" t="s">
        <v>947</v>
      </c>
      <c r="F85" s="12" t="s">
        <v>948</v>
      </c>
      <c r="G85" s="13" t="s">
        <v>49</v>
      </c>
      <c r="H85" s="12" t="s">
        <v>739</v>
      </c>
      <c r="I85" s="12" t="s">
        <v>148</v>
      </c>
      <c r="J85" s="12" t="s">
        <v>46</v>
      </c>
      <c r="K85" s="12" t="s">
        <v>949</v>
      </c>
    </row>
    <row r="86" customFormat="false" ht="54.75" hidden="false" customHeight="true" outlineLevel="0" collapsed="false">
      <c r="A86" s="12" t="s">
        <v>950</v>
      </c>
      <c r="B86" s="12" t="s">
        <v>951</v>
      </c>
      <c r="C86" s="12" t="s">
        <v>952</v>
      </c>
      <c r="D86" s="15" t="s">
        <v>6</v>
      </c>
      <c r="E86" s="12" t="s">
        <v>953</v>
      </c>
      <c r="F86" s="12" t="s">
        <v>954</v>
      </c>
      <c r="G86" s="13" t="s">
        <v>49</v>
      </c>
      <c r="H86" s="12" t="s">
        <v>955</v>
      </c>
      <c r="I86" s="12" t="s">
        <v>361</v>
      </c>
      <c r="J86" s="12" t="s">
        <v>169</v>
      </c>
      <c r="K86" s="12" t="s">
        <v>956</v>
      </c>
    </row>
    <row r="87" customFormat="false" ht="54.75" hidden="false" customHeight="true" outlineLevel="0" collapsed="false">
      <c r="A87" s="12" t="s">
        <v>957</v>
      </c>
      <c r="B87" s="12" t="s">
        <v>951</v>
      </c>
      <c r="C87" s="12" t="s">
        <v>958</v>
      </c>
      <c r="D87" s="15" t="s">
        <v>6</v>
      </c>
      <c r="E87" s="12" t="s">
        <v>953</v>
      </c>
      <c r="F87" s="12" t="s">
        <v>959</v>
      </c>
      <c r="G87" s="13" t="s">
        <v>49</v>
      </c>
      <c r="H87" s="12" t="s">
        <v>960</v>
      </c>
      <c r="I87" s="12" t="s">
        <v>361</v>
      </c>
      <c r="J87" s="12" t="s">
        <v>46</v>
      </c>
      <c r="K87" s="12" t="s">
        <v>961</v>
      </c>
    </row>
    <row r="88" customFormat="false" ht="27.75" hidden="false" customHeight="true" outlineLevel="0" collapsed="false">
      <c r="A88" s="12" t="s">
        <v>962</v>
      </c>
      <c r="B88" s="12" t="s">
        <v>951</v>
      </c>
      <c r="C88" s="12" t="s">
        <v>963</v>
      </c>
      <c r="D88" s="15" t="s">
        <v>6</v>
      </c>
      <c r="E88" s="12" t="s">
        <v>964</v>
      </c>
      <c r="F88" s="12" t="s">
        <v>965</v>
      </c>
      <c r="G88" s="13" t="s">
        <v>49</v>
      </c>
      <c r="H88" s="12"/>
      <c r="I88" s="12" t="s">
        <v>361</v>
      </c>
      <c r="J88" s="12" t="s">
        <v>169</v>
      </c>
      <c r="K88" s="12" t="s">
        <v>966</v>
      </c>
    </row>
    <row r="89" customFormat="false" ht="27.75" hidden="false" customHeight="true" outlineLevel="0" collapsed="false">
      <c r="A89" s="12" t="s">
        <v>363</v>
      </c>
      <c r="B89" s="12" t="s">
        <v>951</v>
      </c>
      <c r="C89" s="12" t="s">
        <v>967</v>
      </c>
      <c r="D89" s="16" t="s">
        <v>7</v>
      </c>
      <c r="E89" s="12" t="s">
        <v>968</v>
      </c>
      <c r="F89" s="12" t="s">
        <v>969</v>
      </c>
      <c r="G89" s="13" t="s">
        <v>18</v>
      </c>
      <c r="H89" s="12" t="s">
        <v>970</v>
      </c>
      <c r="I89" s="12" t="s">
        <v>361</v>
      </c>
      <c r="J89" s="12" t="s">
        <v>80</v>
      </c>
      <c r="K89" s="12" t="s">
        <v>966</v>
      </c>
    </row>
    <row r="90" customFormat="false" ht="41.25" hidden="false" customHeight="true" outlineLevel="0" collapsed="false">
      <c r="A90" s="12" t="s">
        <v>971</v>
      </c>
      <c r="B90" s="12" t="s">
        <v>951</v>
      </c>
      <c r="C90" s="12" t="s">
        <v>972</v>
      </c>
      <c r="D90" s="15" t="s">
        <v>6</v>
      </c>
      <c r="E90" s="12" t="s">
        <v>169</v>
      </c>
      <c r="F90" s="12" t="s">
        <v>973</v>
      </c>
      <c r="G90" s="13" t="s">
        <v>49</v>
      </c>
      <c r="H90" s="12" t="s">
        <v>974</v>
      </c>
      <c r="I90" s="12" t="s">
        <v>148</v>
      </c>
      <c r="J90" s="12" t="s">
        <v>46</v>
      </c>
      <c r="K90" s="12" t="s">
        <v>956</v>
      </c>
    </row>
    <row r="91" customFormat="false" ht="54.75" hidden="false" customHeight="true" outlineLevel="0" collapsed="false">
      <c r="A91" s="12" t="s">
        <v>500</v>
      </c>
      <c r="B91" s="12" t="s">
        <v>951</v>
      </c>
      <c r="C91" s="12" t="s">
        <v>975</v>
      </c>
      <c r="D91" s="15" t="s">
        <v>6</v>
      </c>
      <c r="E91" s="12" t="s">
        <v>169</v>
      </c>
      <c r="F91" s="12" t="s">
        <v>976</v>
      </c>
      <c r="G91" s="13" t="s">
        <v>49</v>
      </c>
      <c r="H91" s="12" t="s">
        <v>977</v>
      </c>
      <c r="I91" s="12" t="s">
        <v>148</v>
      </c>
      <c r="J91" s="12" t="s">
        <v>80</v>
      </c>
      <c r="K91" s="12" t="s">
        <v>978</v>
      </c>
    </row>
    <row r="92" customFormat="false" ht="54.75" hidden="false" customHeight="true" outlineLevel="0" collapsed="false">
      <c r="A92" s="12" t="s">
        <v>979</v>
      </c>
      <c r="B92" s="12" t="s">
        <v>951</v>
      </c>
      <c r="C92" s="12" t="s">
        <v>980</v>
      </c>
      <c r="D92" s="15" t="s">
        <v>6</v>
      </c>
      <c r="E92" s="12" t="s">
        <v>981</v>
      </c>
      <c r="F92" s="12" t="s">
        <v>982</v>
      </c>
      <c r="G92" s="13" t="s">
        <v>49</v>
      </c>
      <c r="H92" s="12" t="s">
        <v>739</v>
      </c>
      <c r="I92" s="12" t="s">
        <v>148</v>
      </c>
      <c r="J92" s="12" t="s">
        <v>46</v>
      </c>
      <c r="K92" s="12" t="s">
        <v>956</v>
      </c>
    </row>
    <row r="93" customFormat="false" ht="81.75" hidden="false" customHeight="true" outlineLevel="0" collapsed="false">
      <c r="A93" s="12" t="s">
        <v>983</v>
      </c>
      <c r="B93" s="12" t="s">
        <v>984</v>
      </c>
      <c r="C93" s="12" t="s">
        <v>985</v>
      </c>
      <c r="D93" s="15" t="s">
        <v>6</v>
      </c>
      <c r="E93" s="12" t="s">
        <v>986</v>
      </c>
      <c r="F93" s="12" t="s">
        <v>987</v>
      </c>
      <c r="G93" s="13" t="s">
        <v>49</v>
      </c>
      <c r="H93" s="12" t="s">
        <v>988</v>
      </c>
      <c r="I93" s="12" t="s">
        <v>148</v>
      </c>
      <c r="J93" s="12" t="s">
        <v>46</v>
      </c>
      <c r="K93" s="12" t="s">
        <v>989</v>
      </c>
    </row>
    <row r="94" customFormat="false" ht="41.25" hidden="false" customHeight="true" outlineLevel="0" collapsed="false">
      <c r="A94" s="12" t="s">
        <v>990</v>
      </c>
      <c r="B94" s="12" t="s">
        <v>984</v>
      </c>
      <c r="C94" s="12" t="s">
        <v>991</v>
      </c>
      <c r="D94" s="15" t="s">
        <v>6</v>
      </c>
      <c r="E94" s="12" t="s">
        <v>737</v>
      </c>
      <c r="F94" s="12" t="s">
        <v>992</v>
      </c>
      <c r="G94" s="13" t="s">
        <v>49</v>
      </c>
      <c r="H94" s="12" t="s">
        <v>993</v>
      </c>
      <c r="I94" s="12" t="s">
        <v>361</v>
      </c>
      <c r="J94" s="12" t="s">
        <v>46</v>
      </c>
      <c r="K94" s="12" t="s">
        <v>994</v>
      </c>
    </row>
    <row r="95" customFormat="false" ht="15" hidden="false" customHeight="true" outlineLevel="0" collapsed="false">
      <c r="A95" s="12" t="s">
        <v>995</v>
      </c>
      <c r="B95" s="12" t="s">
        <v>996</v>
      </c>
      <c r="C95" s="12" t="s">
        <v>997</v>
      </c>
      <c r="D95" s="15" t="s">
        <v>6</v>
      </c>
      <c r="E95" s="12" t="s">
        <v>726</v>
      </c>
      <c r="F95" s="12" t="s">
        <v>169</v>
      </c>
      <c r="G95" s="13" t="s">
        <v>49</v>
      </c>
      <c r="H95" s="12"/>
      <c r="I95" s="12" t="s">
        <v>361</v>
      </c>
      <c r="J95" s="12" t="s">
        <v>169</v>
      </c>
      <c r="K95" s="12" t="s">
        <v>994</v>
      </c>
    </row>
    <row r="96" customFormat="false" ht="15" hidden="false" customHeight="true" outlineLevel="0" collapsed="false">
      <c r="A96" s="12" t="s">
        <v>998</v>
      </c>
      <c r="B96" s="12" t="s">
        <v>996</v>
      </c>
      <c r="C96" s="12" t="s">
        <v>999</v>
      </c>
      <c r="D96" s="15" t="s">
        <v>6</v>
      </c>
      <c r="E96" s="12" t="s">
        <v>1000</v>
      </c>
      <c r="F96" s="12" t="s">
        <v>169</v>
      </c>
      <c r="G96" s="13" t="s">
        <v>49</v>
      </c>
      <c r="H96" s="12"/>
      <c r="I96" s="12" t="s">
        <v>361</v>
      </c>
      <c r="J96" s="12" t="s">
        <v>169</v>
      </c>
      <c r="K96" s="12" t="s">
        <v>994</v>
      </c>
    </row>
    <row r="97" customFormat="false" ht="15" hidden="false" customHeight="true" outlineLevel="0" collapsed="false">
      <c r="A97" s="12" t="s">
        <v>1001</v>
      </c>
      <c r="B97" s="12" t="s">
        <v>996</v>
      </c>
      <c r="C97" s="12" t="s">
        <v>1002</v>
      </c>
      <c r="D97" s="15" t="s">
        <v>6</v>
      </c>
      <c r="E97" s="12" t="s">
        <v>1000</v>
      </c>
      <c r="F97" s="12" t="s">
        <v>169</v>
      </c>
      <c r="G97" s="13" t="s">
        <v>49</v>
      </c>
      <c r="H97" s="12"/>
      <c r="I97" s="12" t="s">
        <v>361</v>
      </c>
      <c r="J97" s="12" t="s">
        <v>169</v>
      </c>
      <c r="K97" s="12" t="s">
        <v>994</v>
      </c>
    </row>
    <row r="98" customFormat="false" ht="27.75" hidden="false" customHeight="true" outlineLevel="0" collapsed="false">
      <c r="A98" s="12" t="s">
        <v>1003</v>
      </c>
      <c r="B98" s="12" t="s">
        <v>996</v>
      </c>
      <c r="C98" s="12" t="s">
        <v>1004</v>
      </c>
      <c r="D98" s="15" t="s">
        <v>6</v>
      </c>
      <c r="E98" s="12" t="s">
        <v>1000</v>
      </c>
      <c r="F98" s="12" t="s">
        <v>169</v>
      </c>
      <c r="G98" s="13" t="s">
        <v>49</v>
      </c>
      <c r="H98" s="12"/>
      <c r="I98" s="12" t="s">
        <v>361</v>
      </c>
      <c r="J98" s="12" t="s">
        <v>169</v>
      </c>
      <c r="K98" s="12" t="s">
        <v>994</v>
      </c>
    </row>
    <row r="99" customFormat="false" ht="68.25" hidden="false" customHeight="true" outlineLevel="0" collapsed="false">
      <c r="A99" s="12" t="s">
        <v>1005</v>
      </c>
      <c r="B99" s="12" t="s">
        <v>996</v>
      </c>
      <c r="C99" s="12" t="s">
        <v>1006</v>
      </c>
      <c r="D99" s="17" t="s">
        <v>8</v>
      </c>
      <c r="E99" s="12" t="s">
        <v>1007</v>
      </c>
      <c r="F99" s="12" t="s">
        <v>1008</v>
      </c>
      <c r="G99" s="13" t="s">
        <v>16</v>
      </c>
      <c r="H99" s="12" t="s">
        <v>1009</v>
      </c>
      <c r="I99" s="12" t="s">
        <v>47</v>
      </c>
      <c r="J99" s="12" t="s">
        <v>46</v>
      </c>
      <c r="K99" s="12" t="s">
        <v>1010</v>
      </c>
    </row>
    <row r="100" customFormat="false" ht="54.75" hidden="false" customHeight="true" outlineLevel="0" collapsed="false">
      <c r="A100" s="12" t="s">
        <v>398</v>
      </c>
      <c r="B100" s="12" t="s">
        <v>996</v>
      </c>
      <c r="C100" s="12" t="s">
        <v>1011</v>
      </c>
      <c r="D100" s="15" t="s">
        <v>6</v>
      </c>
      <c r="E100" s="12" t="s">
        <v>914</v>
      </c>
      <c r="F100" s="12" t="s">
        <v>1012</v>
      </c>
      <c r="G100" s="13" t="s">
        <v>49</v>
      </c>
      <c r="H100" s="12" t="s">
        <v>1013</v>
      </c>
      <c r="I100" s="12" t="s">
        <v>361</v>
      </c>
      <c r="J100" s="12" t="s">
        <v>46</v>
      </c>
      <c r="K100" s="12" t="s">
        <v>1014</v>
      </c>
    </row>
    <row r="101" customFormat="false" ht="27.75" hidden="false" customHeight="true" outlineLevel="0" collapsed="false">
      <c r="A101" s="12" t="s">
        <v>1015</v>
      </c>
      <c r="B101" s="12" t="s">
        <v>996</v>
      </c>
      <c r="C101" s="12" t="s">
        <v>1016</v>
      </c>
      <c r="D101" s="15" t="s">
        <v>6</v>
      </c>
      <c r="E101" s="12" t="s">
        <v>1017</v>
      </c>
      <c r="F101" s="12" t="s">
        <v>1018</v>
      </c>
      <c r="G101" s="13" t="s">
        <v>49</v>
      </c>
      <c r="H101" s="12" t="s">
        <v>1019</v>
      </c>
      <c r="I101" s="12" t="s">
        <v>361</v>
      </c>
      <c r="J101" s="12" t="s">
        <v>169</v>
      </c>
      <c r="K101" s="12" t="s">
        <v>1014</v>
      </c>
    </row>
    <row r="102" customFormat="false" ht="15" hidden="false" customHeight="true" outlineLevel="0" collapsed="false">
      <c r="A102" s="12" t="s">
        <v>1020</v>
      </c>
      <c r="B102" s="12" t="s">
        <v>996</v>
      </c>
      <c r="C102" s="12" t="s">
        <v>1021</v>
      </c>
      <c r="D102" s="15" t="s">
        <v>6</v>
      </c>
      <c r="E102" s="12" t="s">
        <v>707</v>
      </c>
      <c r="F102" s="12" t="s">
        <v>169</v>
      </c>
      <c r="G102" s="13" t="s">
        <v>49</v>
      </c>
      <c r="H102" s="12"/>
      <c r="I102" s="12" t="s">
        <v>361</v>
      </c>
      <c r="J102" s="12" t="s">
        <v>169</v>
      </c>
      <c r="K102" s="12" t="s">
        <v>1014</v>
      </c>
    </row>
    <row r="103" customFormat="false" ht="41.25" hidden="false" customHeight="true" outlineLevel="0" collapsed="false">
      <c r="A103" s="12" t="s">
        <v>1022</v>
      </c>
      <c r="B103" s="12" t="s">
        <v>996</v>
      </c>
      <c r="C103" s="12" t="s">
        <v>1023</v>
      </c>
      <c r="D103" s="15" t="s">
        <v>6</v>
      </c>
      <c r="E103" s="12" t="s">
        <v>707</v>
      </c>
      <c r="F103" s="12" t="s">
        <v>1024</v>
      </c>
      <c r="G103" s="13" t="s">
        <v>49</v>
      </c>
      <c r="H103" s="12" t="s">
        <v>1025</v>
      </c>
      <c r="I103" s="12" t="s">
        <v>148</v>
      </c>
      <c r="J103" s="12" t="s">
        <v>46</v>
      </c>
      <c r="K103" s="12" t="s">
        <v>1014</v>
      </c>
    </row>
    <row r="104" customFormat="false" ht="54.75" hidden="false" customHeight="true" outlineLevel="0" collapsed="false">
      <c r="A104" s="12" t="s">
        <v>1026</v>
      </c>
      <c r="B104" s="12" t="s">
        <v>1027</v>
      </c>
      <c r="C104" s="12" t="s">
        <v>1028</v>
      </c>
      <c r="D104" s="15" t="s">
        <v>6</v>
      </c>
      <c r="E104" s="12" t="s">
        <v>1029</v>
      </c>
      <c r="F104" s="12" t="s">
        <v>1030</v>
      </c>
      <c r="G104" s="13" t="s">
        <v>49</v>
      </c>
      <c r="H104" s="12" t="s">
        <v>1031</v>
      </c>
      <c r="I104" s="12" t="s">
        <v>361</v>
      </c>
      <c r="J104" s="12" t="s">
        <v>46</v>
      </c>
      <c r="K104" s="12" t="s">
        <v>1014</v>
      </c>
    </row>
    <row r="105" customFormat="false" ht="27.75" hidden="false" customHeight="true" outlineLevel="0" collapsed="false">
      <c r="A105" s="12" t="s">
        <v>1032</v>
      </c>
      <c r="B105" s="12" t="s">
        <v>1027</v>
      </c>
      <c r="C105" s="12" t="s">
        <v>1033</v>
      </c>
      <c r="D105" s="15" t="s">
        <v>6</v>
      </c>
      <c r="E105" s="12" t="s">
        <v>1034</v>
      </c>
      <c r="F105" s="12" t="s">
        <v>1035</v>
      </c>
      <c r="G105" s="13" t="s">
        <v>49</v>
      </c>
      <c r="H105" s="12"/>
      <c r="I105" s="12" t="s">
        <v>361</v>
      </c>
      <c r="J105" s="12" t="s">
        <v>169</v>
      </c>
      <c r="K105" s="12" t="s">
        <v>1014</v>
      </c>
    </row>
    <row r="106" customFormat="false" ht="68.25" hidden="false" customHeight="true" outlineLevel="0" collapsed="false">
      <c r="A106" s="12" t="s">
        <v>1036</v>
      </c>
      <c r="B106" s="12" t="s">
        <v>1027</v>
      </c>
      <c r="C106" s="12" t="s">
        <v>1037</v>
      </c>
      <c r="D106" s="17" t="s">
        <v>8</v>
      </c>
      <c r="E106" s="12" t="s">
        <v>1038</v>
      </c>
      <c r="F106" s="12" t="s">
        <v>1039</v>
      </c>
      <c r="G106" s="13" t="s">
        <v>16</v>
      </c>
      <c r="H106" s="12" t="s">
        <v>1040</v>
      </c>
      <c r="I106" s="12" t="s">
        <v>47</v>
      </c>
      <c r="J106" s="12" t="s">
        <v>46</v>
      </c>
      <c r="K106" s="12" t="s">
        <v>1041</v>
      </c>
    </row>
    <row r="107" customFormat="false" ht="15" hidden="false" customHeight="true" outlineLevel="0" collapsed="false">
      <c r="A107" s="12" t="s">
        <v>1042</v>
      </c>
      <c r="B107" s="12" t="s">
        <v>1027</v>
      </c>
      <c r="C107" s="12" t="s">
        <v>1043</v>
      </c>
      <c r="D107" s="15" t="s">
        <v>6</v>
      </c>
      <c r="E107" s="12" t="s">
        <v>1044</v>
      </c>
      <c r="F107" s="12" t="s">
        <v>169</v>
      </c>
      <c r="G107" s="13" t="s">
        <v>49</v>
      </c>
      <c r="H107" s="12"/>
      <c r="I107" s="12" t="s">
        <v>361</v>
      </c>
      <c r="J107" s="12" t="s">
        <v>169</v>
      </c>
      <c r="K107" s="12" t="s">
        <v>1041</v>
      </c>
    </row>
    <row r="108" customFormat="false" ht="27.75" hidden="false" customHeight="true" outlineLevel="0" collapsed="false">
      <c r="A108" s="12" t="s">
        <v>1045</v>
      </c>
      <c r="B108" s="12" t="s">
        <v>1027</v>
      </c>
      <c r="C108" s="12" t="s">
        <v>1046</v>
      </c>
      <c r="D108" s="15" t="s">
        <v>6</v>
      </c>
      <c r="E108" s="12" t="s">
        <v>169</v>
      </c>
      <c r="F108" s="12" t="s">
        <v>1047</v>
      </c>
      <c r="G108" s="13" t="s">
        <v>49</v>
      </c>
      <c r="H108" s="12" t="s">
        <v>739</v>
      </c>
      <c r="I108" s="12" t="s">
        <v>361</v>
      </c>
      <c r="J108" s="12" t="s">
        <v>46</v>
      </c>
      <c r="K108" s="12" t="s">
        <v>1041</v>
      </c>
    </row>
    <row r="109" customFormat="false" ht="27.75" hidden="false" customHeight="true" outlineLevel="0" collapsed="false">
      <c r="A109" s="12" t="s">
        <v>1048</v>
      </c>
      <c r="B109" s="12" t="s">
        <v>1049</v>
      </c>
      <c r="C109" s="12" t="s">
        <v>1050</v>
      </c>
      <c r="D109" s="15" t="s">
        <v>6</v>
      </c>
      <c r="E109" s="12" t="s">
        <v>1051</v>
      </c>
      <c r="F109" s="12" t="s">
        <v>1052</v>
      </c>
      <c r="G109" s="13" t="s">
        <v>49</v>
      </c>
      <c r="H109" s="12" t="s">
        <v>756</v>
      </c>
      <c r="I109" s="12" t="s">
        <v>47</v>
      </c>
      <c r="J109" s="12" t="s">
        <v>65</v>
      </c>
      <c r="K109" s="12" t="s">
        <v>1041</v>
      </c>
    </row>
    <row r="110" customFormat="false" ht="27.75" hidden="false" customHeight="true" outlineLevel="0" collapsed="false">
      <c r="A110" s="12" t="s">
        <v>1053</v>
      </c>
      <c r="B110" s="12" t="s">
        <v>1049</v>
      </c>
      <c r="C110" s="12" t="s">
        <v>1054</v>
      </c>
      <c r="D110" s="15" t="s">
        <v>6</v>
      </c>
      <c r="E110" s="12" t="s">
        <v>169</v>
      </c>
      <c r="F110" s="12" t="s">
        <v>1055</v>
      </c>
      <c r="G110" s="13" t="s">
        <v>49</v>
      </c>
      <c r="H110" s="12" t="s">
        <v>756</v>
      </c>
      <c r="I110" s="12" t="s">
        <v>47</v>
      </c>
      <c r="J110" s="12" t="s">
        <v>65</v>
      </c>
      <c r="K110" s="12" t="s">
        <v>1041</v>
      </c>
    </row>
    <row r="111" customFormat="false" ht="27.75" hidden="false" customHeight="true" outlineLevel="0" collapsed="false">
      <c r="A111" s="12" t="s">
        <v>1056</v>
      </c>
      <c r="B111" s="12" t="s">
        <v>1049</v>
      </c>
      <c r="C111" s="12" t="s">
        <v>1057</v>
      </c>
      <c r="D111" s="15" t="s">
        <v>6</v>
      </c>
      <c r="E111" s="12" t="s">
        <v>169</v>
      </c>
      <c r="F111" s="12" t="s">
        <v>1058</v>
      </c>
      <c r="G111" s="13" t="s">
        <v>49</v>
      </c>
      <c r="H111" s="12" t="s">
        <v>756</v>
      </c>
      <c r="I111" s="12" t="s">
        <v>148</v>
      </c>
      <c r="J111" s="12" t="s">
        <v>46</v>
      </c>
      <c r="K111" s="12" t="s">
        <v>1041</v>
      </c>
    </row>
    <row r="112" customFormat="false" ht="81.75" hidden="false" customHeight="true" outlineLevel="0" collapsed="false">
      <c r="A112" s="12" t="s">
        <v>1059</v>
      </c>
      <c r="B112" s="12" t="s">
        <v>1060</v>
      </c>
      <c r="C112" s="12" t="s">
        <v>1061</v>
      </c>
      <c r="D112" s="15" t="s">
        <v>6</v>
      </c>
      <c r="E112" s="12" t="s">
        <v>1062</v>
      </c>
      <c r="F112" s="12" t="s">
        <v>1063</v>
      </c>
      <c r="G112" s="13" t="s">
        <v>49</v>
      </c>
      <c r="H112" s="12" t="s">
        <v>1064</v>
      </c>
      <c r="I112" s="12" t="s">
        <v>47</v>
      </c>
      <c r="J112" s="12" t="s">
        <v>65</v>
      </c>
      <c r="K112" s="12" t="s">
        <v>1065</v>
      </c>
    </row>
    <row r="113" customFormat="false" ht="54.75" hidden="false" customHeight="true" outlineLevel="0" collapsed="false">
      <c r="A113" s="12" t="s">
        <v>1066</v>
      </c>
      <c r="B113" s="12" t="s">
        <v>1060</v>
      </c>
      <c r="C113" s="12" t="s">
        <v>1067</v>
      </c>
      <c r="D113" s="15" t="s">
        <v>6</v>
      </c>
      <c r="E113" s="12" t="s">
        <v>1068</v>
      </c>
      <c r="F113" s="12" t="s">
        <v>1069</v>
      </c>
      <c r="G113" s="13" t="s">
        <v>49</v>
      </c>
      <c r="H113" s="12" t="s">
        <v>1070</v>
      </c>
      <c r="I113" s="12" t="s">
        <v>47</v>
      </c>
      <c r="J113" s="12" t="s">
        <v>65</v>
      </c>
      <c r="K113" s="12" t="s">
        <v>1071</v>
      </c>
    </row>
    <row r="114" customFormat="false" ht="41.25" hidden="false" customHeight="true" outlineLevel="0" collapsed="false">
      <c r="A114" s="12" t="s">
        <v>1072</v>
      </c>
      <c r="B114" s="12" t="s">
        <v>1060</v>
      </c>
      <c r="C114" s="12" t="s">
        <v>1073</v>
      </c>
      <c r="D114" s="15" t="s">
        <v>6</v>
      </c>
      <c r="E114" s="12" t="s">
        <v>169</v>
      </c>
      <c r="F114" s="12" t="s">
        <v>1074</v>
      </c>
      <c r="G114" s="13" t="s">
        <v>49</v>
      </c>
      <c r="H114" s="12" t="s">
        <v>1075</v>
      </c>
      <c r="I114" s="12" t="s">
        <v>47</v>
      </c>
      <c r="J114" s="12" t="s">
        <v>80</v>
      </c>
      <c r="K114" s="12" t="s">
        <v>1076</v>
      </c>
    </row>
    <row r="115" customFormat="false" ht="41.25" hidden="false" customHeight="true" outlineLevel="0" collapsed="false">
      <c r="A115" s="12" t="s">
        <v>1077</v>
      </c>
      <c r="B115" s="12" t="s">
        <v>1060</v>
      </c>
      <c r="C115" s="12" t="s">
        <v>1078</v>
      </c>
      <c r="D115" s="15" t="s">
        <v>6</v>
      </c>
      <c r="E115" s="12" t="s">
        <v>169</v>
      </c>
      <c r="F115" s="12" t="s">
        <v>1079</v>
      </c>
      <c r="G115" s="13" t="s">
        <v>49</v>
      </c>
      <c r="H115" s="12"/>
      <c r="I115" s="12" t="s">
        <v>148</v>
      </c>
      <c r="J115" s="12" t="s">
        <v>80</v>
      </c>
      <c r="K115" s="12" t="s">
        <v>1080</v>
      </c>
    </row>
    <row r="116" customFormat="false" ht="54.75" hidden="false" customHeight="true" outlineLevel="0" collapsed="false">
      <c r="A116" s="12" t="s">
        <v>1081</v>
      </c>
      <c r="B116" s="12" t="s">
        <v>1060</v>
      </c>
      <c r="C116" s="12" t="s">
        <v>1082</v>
      </c>
      <c r="D116" s="15" t="s">
        <v>6</v>
      </c>
      <c r="E116" s="12" t="s">
        <v>1083</v>
      </c>
      <c r="F116" s="12" t="s">
        <v>1084</v>
      </c>
      <c r="G116" s="13" t="s">
        <v>49</v>
      </c>
      <c r="H116" s="12"/>
      <c r="I116" s="12" t="s">
        <v>47</v>
      </c>
      <c r="J116" s="12" t="s">
        <v>80</v>
      </c>
      <c r="K116" s="12" t="s">
        <v>1080</v>
      </c>
    </row>
    <row r="117" customFormat="false" ht="27.75" hidden="false" customHeight="true" outlineLevel="0" collapsed="false">
      <c r="A117" s="12" t="s">
        <v>386</v>
      </c>
      <c r="B117" s="12" t="s">
        <v>1085</v>
      </c>
      <c r="C117" s="12" t="s">
        <v>1086</v>
      </c>
      <c r="D117" s="15" t="s">
        <v>6</v>
      </c>
      <c r="E117" s="12" t="s">
        <v>1087</v>
      </c>
      <c r="F117" s="12" t="s">
        <v>1088</v>
      </c>
      <c r="G117" s="13" t="s">
        <v>49</v>
      </c>
      <c r="H117" s="12" t="s">
        <v>739</v>
      </c>
      <c r="I117" s="12" t="s">
        <v>361</v>
      </c>
      <c r="J117" s="12" t="s">
        <v>46</v>
      </c>
      <c r="K117" s="12" t="s">
        <v>1080</v>
      </c>
    </row>
    <row r="118" customFormat="false" ht="27.75" hidden="false" customHeight="true" outlineLevel="0" collapsed="false">
      <c r="A118" s="12" t="s">
        <v>1089</v>
      </c>
      <c r="B118" s="12" t="s">
        <v>1085</v>
      </c>
      <c r="C118" s="12" t="s">
        <v>1090</v>
      </c>
      <c r="D118" s="15" t="s">
        <v>6</v>
      </c>
      <c r="E118" s="12" t="s">
        <v>1091</v>
      </c>
      <c r="F118" s="12" t="s">
        <v>169</v>
      </c>
      <c r="G118" s="13" t="s">
        <v>49</v>
      </c>
      <c r="H118" s="12"/>
      <c r="I118" s="12" t="s">
        <v>361</v>
      </c>
      <c r="J118" s="12" t="s">
        <v>169</v>
      </c>
      <c r="K118" s="12" t="s">
        <v>1080</v>
      </c>
    </row>
    <row r="119" customFormat="false" ht="81.75" hidden="false" customHeight="true" outlineLevel="0" collapsed="false">
      <c r="A119" s="12" t="s">
        <v>389</v>
      </c>
      <c r="B119" s="12" t="s">
        <v>1092</v>
      </c>
      <c r="C119" s="12" t="s">
        <v>1093</v>
      </c>
      <c r="D119" s="15" t="s">
        <v>6</v>
      </c>
      <c r="E119" s="12" t="s">
        <v>1094</v>
      </c>
      <c r="F119" s="12" t="s">
        <v>1095</v>
      </c>
      <c r="G119" s="13" t="s">
        <v>49</v>
      </c>
      <c r="H119" s="12" t="s">
        <v>739</v>
      </c>
      <c r="I119" s="12" t="s">
        <v>361</v>
      </c>
      <c r="J119" s="12" t="s">
        <v>46</v>
      </c>
      <c r="K119" s="12" t="s">
        <v>1080</v>
      </c>
    </row>
    <row r="120" customFormat="false" ht="15" hidden="false" customHeight="true" outlineLevel="0" collapsed="false">
      <c r="A120" s="12" t="s">
        <v>1096</v>
      </c>
      <c r="B120" s="12" t="s">
        <v>1092</v>
      </c>
      <c r="C120" s="12" t="s">
        <v>1097</v>
      </c>
      <c r="D120" s="15" t="s">
        <v>6</v>
      </c>
      <c r="E120" s="12" t="s">
        <v>1098</v>
      </c>
      <c r="F120" s="12" t="s">
        <v>169</v>
      </c>
      <c r="G120" s="13" t="s">
        <v>49</v>
      </c>
      <c r="H120" s="12"/>
      <c r="I120" s="12" t="s">
        <v>361</v>
      </c>
      <c r="J120" s="12" t="s">
        <v>169</v>
      </c>
      <c r="K120" s="12" t="s">
        <v>1080</v>
      </c>
    </row>
    <row r="121" customFormat="false" ht="41.25" hidden="false" customHeight="true" outlineLevel="0" collapsed="false">
      <c r="A121" s="12" t="s">
        <v>1099</v>
      </c>
      <c r="B121" s="12" t="s">
        <v>1092</v>
      </c>
      <c r="C121" s="12" t="s">
        <v>1100</v>
      </c>
      <c r="D121" s="15" t="s">
        <v>6</v>
      </c>
      <c r="E121" s="12" t="s">
        <v>1098</v>
      </c>
      <c r="F121" s="12" t="s">
        <v>1101</v>
      </c>
      <c r="G121" s="13" t="s">
        <v>49</v>
      </c>
      <c r="H121" s="12" t="s">
        <v>1102</v>
      </c>
      <c r="I121" s="12" t="s">
        <v>148</v>
      </c>
      <c r="J121" s="12" t="s">
        <v>46</v>
      </c>
      <c r="K121" s="12" t="s">
        <v>1080</v>
      </c>
    </row>
    <row r="122" customFormat="false" ht="68.25" hidden="false" customHeight="true" outlineLevel="0" collapsed="false">
      <c r="A122" s="12" t="s">
        <v>150</v>
      </c>
      <c r="B122" s="12" t="s">
        <v>1092</v>
      </c>
      <c r="C122" s="12" t="s">
        <v>1103</v>
      </c>
      <c r="D122" s="15" t="s">
        <v>6</v>
      </c>
      <c r="E122" s="12" t="s">
        <v>1098</v>
      </c>
      <c r="F122" s="12" t="s">
        <v>1104</v>
      </c>
      <c r="G122" s="13" t="s">
        <v>49</v>
      </c>
      <c r="H122" s="12" t="s">
        <v>1105</v>
      </c>
      <c r="I122" s="12" t="s">
        <v>148</v>
      </c>
      <c r="J122" s="12" t="s">
        <v>46</v>
      </c>
      <c r="K122" s="12" t="s">
        <v>1106</v>
      </c>
    </row>
    <row r="123" customFormat="false" ht="108.75" hidden="false" customHeight="true" outlineLevel="0" collapsed="false">
      <c r="A123" s="12" t="s">
        <v>210</v>
      </c>
      <c r="B123" s="12" t="s">
        <v>1107</v>
      </c>
      <c r="C123" s="12" t="s">
        <v>1108</v>
      </c>
      <c r="D123" s="16" t="s">
        <v>6</v>
      </c>
      <c r="E123" s="12" t="s">
        <v>1109</v>
      </c>
      <c r="F123" s="12" t="s">
        <v>1110</v>
      </c>
      <c r="G123" s="13" t="s">
        <v>49</v>
      </c>
      <c r="H123" s="12" t="s">
        <v>1111</v>
      </c>
      <c r="I123" s="12" t="s">
        <v>148</v>
      </c>
      <c r="J123" s="12" t="s">
        <v>80</v>
      </c>
      <c r="K123" s="12" t="s">
        <v>1080</v>
      </c>
    </row>
    <row r="124" customFormat="false" ht="15" hidden="false" customHeight="true" outlineLevel="0" collapsed="false">
      <c r="A124" s="12" t="s">
        <v>1112</v>
      </c>
      <c r="B124" s="12" t="s">
        <v>1107</v>
      </c>
      <c r="C124" s="12" t="s">
        <v>1113</v>
      </c>
      <c r="D124" s="15" t="s">
        <v>6</v>
      </c>
      <c r="E124" s="12" t="s">
        <v>1098</v>
      </c>
      <c r="F124" s="12" t="s">
        <v>169</v>
      </c>
      <c r="G124" s="13" t="s">
        <v>49</v>
      </c>
      <c r="H124" s="12"/>
      <c r="I124" s="12" t="s">
        <v>361</v>
      </c>
      <c r="J124" s="12" t="s">
        <v>169</v>
      </c>
      <c r="K124" s="12" t="s">
        <v>1114</v>
      </c>
    </row>
    <row r="125" customFormat="false" ht="15" hidden="false" customHeight="true" outlineLevel="0" collapsed="false">
      <c r="A125" s="12" t="s">
        <v>1115</v>
      </c>
      <c r="B125" s="12" t="s">
        <v>1107</v>
      </c>
      <c r="C125" s="12" t="s">
        <v>1116</v>
      </c>
      <c r="D125" s="15" t="s">
        <v>6</v>
      </c>
      <c r="E125" s="12" t="s">
        <v>1117</v>
      </c>
      <c r="F125" s="12" t="s">
        <v>169</v>
      </c>
      <c r="G125" s="13" t="s">
        <v>49</v>
      </c>
      <c r="H125" s="12"/>
      <c r="I125" s="12" t="s">
        <v>361</v>
      </c>
      <c r="J125" s="12" t="s">
        <v>169</v>
      </c>
      <c r="K125" s="12" t="s">
        <v>1114</v>
      </c>
    </row>
    <row r="126" customFormat="false" ht="15" hidden="false" customHeight="true" outlineLevel="0" collapsed="false">
      <c r="A126" s="12" t="s">
        <v>1118</v>
      </c>
      <c r="B126" s="12" t="s">
        <v>1119</v>
      </c>
      <c r="C126" s="12" t="s">
        <v>1120</v>
      </c>
      <c r="D126" s="15" t="s">
        <v>6</v>
      </c>
      <c r="E126" s="12" t="s">
        <v>1121</v>
      </c>
      <c r="F126" s="12" t="s">
        <v>169</v>
      </c>
      <c r="G126" s="13" t="s">
        <v>49</v>
      </c>
      <c r="H126" s="12"/>
      <c r="I126" s="12" t="s">
        <v>361</v>
      </c>
      <c r="J126" s="12" t="s">
        <v>169</v>
      </c>
      <c r="K126" s="12" t="s">
        <v>1114</v>
      </c>
    </row>
    <row r="127" customFormat="false" ht="27.75" hidden="false" customHeight="true" outlineLevel="0" collapsed="false">
      <c r="A127" s="12" t="s">
        <v>1122</v>
      </c>
      <c r="B127" s="12" t="s">
        <v>1119</v>
      </c>
      <c r="C127" s="12" t="s">
        <v>1123</v>
      </c>
      <c r="D127" s="15" t="s">
        <v>6</v>
      </c>
      <c r="E127" s="12" t="s">
        <v>1124</v>
      </c>
      <c r="F127" s="12" t="s">
        <v>169</v>
      </c>
      <c r="G127" s="13" t="s">
        <v>49</v>
      </c>
      <c r="H127" s="12"/>
      <c r="I127" s="12" t="s">
        <v>361</v>
      </c>
      <c r="J127" s="12" t="s">
        <v>169</v>
      </c>
      <c r="K127" s="12" t="s">
        <v>1114</v>
      </c>
    </row>
    <row r="128" customFormat="false" ht="15" hidden="false" customHeight="true" outlineLevel="0" collapsed="false">
      <c r="A128" s="12" t="s">
        <v>1125</v>
      </c>
      <c r="B128" s="12" t="s">
        <v>1119</v>
      </c>
      <c r="C128" s="12" t="s">
        <v>1126</v>
      </c>
      <c r="D128" s="18" t="s">
        <v>10</v>
      </c>
      <c r="E128" s="12" t="s">
        <v>1127</v>
      </c>
      <c r="F128" s="12" t="s">
        <v>1128</v>
      </c>
      <c r="G128" s="13" t="s">
        <v>14</v>
      </c>
      <c r="H128" s="12" t="s">
        <v>1129</v>
      </c>
      <c r="I128" s="12" t="s">
        <v>148</v>
      </c>
      <c r="J128" s="12" t="s">
        <v>46</v>
      </c>
      <c r="K128" s="12" t="s">
        <v>1114</v>
      </c>
    </row>
    <row r="129" customFormat="false" ht="27.75" hidden="false" customHeight="true" outlineLevel="0" collapsed="false">
      <c r="A129" s="12" t="s">
        <v>1130</v>
      </c>
      <c r="B129" s="12" t="s">
        <v>1131</v>
      </c>
      <c r="C129" s="12" t="s">
        <v>1132</v>
      </c>
      <c r="D129" s="18" t="s">
        <v>10</v>
      </c>
      <c r="E129" s="12" t="s">
        <v>169</v>
      </c>
      <c r="F129" s="12" t="s">
        <v>1133</v>
      </c>
      <c r="G129" s="13" t="s">
        <v>49</v>
      </c>
      <c r="H129" s="12" t="s">
        <v>1134</v>
      </c>
      <c r="I129" s="12" t="s">
        <v>361</v>
      </c>
      <c r="J129" s="12" t="s">
        <v>169</v>
      </c>
      <c r="K129" s="12" t="s">
        <v>1114</v>
      </c>
    </row>
    <row r="130" customFormat="false" ht="95.25" hidden="false" customHeight="true" outlineLevel="0" collapsed="false">
      <c r="A130" s="12" t="s">
        <v>153</v>
      </c>
      <c r="B130" s="12" t="s">
        <v>1131</v>
      </c>
      <c r="C130" s="12" t="s">
        <v>1135</v>
      </c>
      <c r="D130" s="15" t="s">
        <v>6</v>
      </c>
      <c r="E130" s="12" t="s">
        <v>1136</v>
      </c>
      <c r="F130" s="12" t="s">
        <v>1137</v>
      </c>
      <c r="G130" s="13" t="s">
        <v>49</v>
      </c>
      <c r="H130" s="12" t="s">
        <v>1138</v>
      </c>
      <c r="I130" s="12" t="s">
        <v>148</v>
      </c>
      <c r="J130" s="12" t="s">
        <v>80</v>
      </c>
      <c r="K130" s="12" t="s">
        <v>1139</v>
      </c>
    </row>
    <row r="131" customFormat="false" ht="27.75" hidden="false" customHeight="true" outlineLevel="0" collapsed="false">
      <c r="A131" s="12" t="s">
        <v>1140</v>
      </c>
      <c r="B131" s="12" t="s">
        <v>1131</v>
      </c>
      <c r="C131" s="12" t="s">
        <v>1141</v>
      </c>
      <c r="D131" s="15" t="s">
        <v>6</v>
      </c>
      <c r="E131" s="12" t="s">
        <v>169</v>
      </c>
      <c r="F131" s="12" t="s">
        <v>1142</v>
      </c>
      <c r="G131" s="13" t="s">
        <v>49</v>
      </c>
      <c r="H131" s="12"/>
      <c r="I131" s="12" t="s">
        <v>361</v>
      </c>
      <c r="J131" s="12" t="s">
        <v>169</v>
      </c>
      <c r="K131" s="12" t="s">
        <v>1139</v>
      </c>
    </row>
    <row r="132" customFormat="false" ht="15" hidden="false" customHeight="true" outlineLevel="0" collapsed="false">
      <c r="A132" s="12" t="s">
        <v>1143</v>
      </c>
      <c r="B132" s="12" t="s">
        <v>1144</v>
      </c>
      <c r="C132" s="12" t="s">
        <v>1145</v>
      </c>
      <c r="D132" s="18" t="s">
        <v>10</v>
      </c>
      <c r="E132" s="12" t="s">
        <v>169</v>
      </c>
      <c r="F132" s="12" t="s">
        <v>1146</v>
      </c>
      <c r="G132" s="13" t="s">
        <v>14</v>
      </c>
      <c r="H132" s="12" t="s">
        <v>1147</v>
      </c>
      <c r="I132" s="12" t="s">
        <v>361</v>
      </c>
      <c r="J132" s="12" t="s">
        <v>46</v>
      </c>
      <c r="K132" s="12" t="s">
        <v>1139</v>
      </c>
    </row>
    <row r="133" customFormat="false" ht="54.75" hidden="false" customHeight="true" outlineLevel="0" collapsed="false">
      <c r="A133" s="12" t="s">
        <v>1148</v>
      </c>
      <c r="B133" s="12" t="s">
        <v>1144</v>
      </c>
      <c r="C133" s="12" t="s">
        <v>1149</v>
      </c>
      <c r="D133" s="16" t="s">
        <v>7</v>
      </c>
      <c r="E133" s="12" t="s">
        <v>1150</v>
      </c>
      <c r="F133" s="12" t="s">
        <v>1151</v>
      </c>
      <c r="G133" s="13" t="s">
        <v>18</v>
      </c>
      <c r="H133" s="12" t="s">
        <v>1152</v>
      </c>
      <c r="I133" s="12" t="s">
        <v>148</v>
      </c>
      <c r="J133" s="12" t="s">
        <v>169</v>
      </c>
      <c r="K133" s="12" t="s">
        <v>1139</v>
      </c>
    </row>
    <row r="134" customFormat="false" ht="15" hidden="false" customHeight="true" outlineLevel="0" collapsed="false">
      <c r="A134" s="12" t="s">
        <v>1153</v>
      </c>
      <c r="B134" s="12" t="s">
        <v>1154</v>
      </c>
      <c r="C134" s="12" t="s">
        <v>1155</v>
      </c>
      <c r="D134" s="15" t="s">
        <v>6</v>
      </c>
      <c r="E134" s="12" t="s">
        <v>1156</v>
      </c>
      <c r="F134" s="12" t="s">
        <v>1157</v>
      </c>
      <c r="G134" s="13" t="s">
        <v>49</v>
      </c>
      <c r="H134" s="12"/>
      <c r="I134" s="12" t="s">
        <v>361</v>
      </c>
      <c r="J134" s="12" t="s">
        <v>169</v>
      </c>
      <c r="K134" s="12" t="s">
        <v>1139</v>
      </c>
    </row>
    <row r="135" customFormat="false" ht="27.75" hidden="false" customHeight="true" outlineLevel="0" collapsed="false">
      <c r="A135" s="12" t="s">
        <v>1158</v>
      </c>
      <c r="B135" s="12" t="s">
        <v>1154</v>
      </c>
      <c r="C135" s="12" t="s">
        <v>1159</v>
      </c>
      <c r="D135" s="16" t="s">
        <v>6</v>
      </c>
      <c r="E135" s="12" t="s">
        <v>1160</v>
      </c>
      <c r="F135" s="12" t="s">
        <v>1161</v>
      </c>
      <c r="G135" s="13" t="s">
        <v>49</v>
      </c>
      <c r="H135" s="12" t="s">
        <v>1162</v>
      </c>
      <c r="I135" s="12" t="s">
        <v>148</v>
      </c>
      <c r="J135" s="12" t="s">
        <v>169</v>
      </c>
      <c r="K135" s="12" t="s">
        <v>1139</v>
      </c>
    </row>
    <row r="136" customFormat="false" ht="81.75" hidden="false" customHeight="true" outlineLevel="0" collapsed="false">
      <c r="A136" s="12" t="s">
        <v>116</v>
      </c>
      <c r="B136" s="12" t="s">
        <v>1154</v>
      </c>
      <c r="C136" s="12" t="s">
        <v>1163</v>
      </c>
      <c r="D136" s="16" t="s">
        <v>6</v>
      </c>
      <c r="E136" s="12" t="s">
        <v>1164</v>
      </c>
      <c r="F136" s="12" t="s">
        <v>1165</v>
      </c>
      <c r="G136" s="13" t="s">
        <v>49</v>
      </c>
      <c r="H136" s="12" t="s">
        <v>1166</v>
      </c>
      <c r="I136" s="12" t="s">
        <v>148</v>
      </c>
      <c r="J136" s="12" t="s">
        <v>80</v>
      </c>
      <c r="K136" s="12" t="s">
        <v>1139</v>
      </c>
    </row>
    <row r="137" customFormat="false" ht="15" hidden="false" customHeight="true" outlineLevel="0" collapsed="false">
      <c r="A137" s="12" t="s">
        <v>1167</v>
      </c>
      <c r="B137" s="12" t="s">
        <v>1154</v>
      </c>
      <c r="C137" s="12" t="s">
        <v>1168</v>
      </c>
      <c r="D137" s="19" t="s">
        <v>11</v>
      </c>
      <c r="E137" s="12" t="s">
        <v>169</v>
      </c>
      <c r="F137" s="12" t="s">
        <v>1169</v>
      </c>
      <c r="G137" s="13" t="s">
        <v>49</v>
      </c>
      <c r="H137" s="12" t="s">
        <v>1170</v>
      </c>
      <c r="I137" s="12" t="s">
        <v>361</v>
      </c>
      <c r="J137" s="12" t="s">
        <v>169</v>
      </c>
      <c r="K137" s="12" t="s">
        <v>1139</v>
      </c>
    </row>
    <row r="138" customFormat="false" ht="27.75" hidden="false" customHeight="true" outlineLevel="0" collapsed="false">
      <c r="A138" s="12" t="s">
        <v>1171</v>
      </c>
      <c r="B138" s="12" t="s">
        <v>1172</v>
      </c>
      <c r="C138" s="12" t="s">
        <v>1173</v>
      </c>
      <c r="D138" s="20" t="s">
        <v>7</v>
      </c>
      <c r="E138" s="12" t="s">
        <v>169</v>
      </c>
      <c r="F138" s="12" t="s">
        <v>1174</v>
      </c>
      <c r="G138" s="13" t="s">
        <v>18</v>
      </c>
      <c r="H138" s="12" t="s">
        <v>1175</v>
      </c>
      <c r="I138" s="12" t="s">
        <v>148</v>
      </c>
      <c r="J138" s="12" t="s">
        <v>46</v>
      </c>
      <c r="K138" s="12" t="s">
        <v>1176</v>
      </c>
    </row>
    <row r="139" customFormat="false" ht="15" hidden="false" customHeight="true" outlineLevel="0" collapsed="false">
      <c r="A139" s="12" t="s">
        <v>1177</v>
      </c>
      <c r="B139" s="12" t="s">
        <v>1172</v>
      </c>
      <c r="C139" s="12" t="s">
        <v>1178</v>
      </c>
      <c r="D139" s="15" t="s">
        <v>6</v>
      </c>
      <c r="E139" s="12" t="s">
        <v>1179</v>
      </c>
      <c r="F139" s="12" t="s">
        <v>169</v>
      </c>
      <c r="G139" s="13" t="s">
        <v>49</v>
      </c>
      <c r="H139" s="12"/>
      <c r="I139" s="12" t="s">
        <v>361</v>
      </c>
      <c r="J139" s="12" t="s">
        <v>169</v>
      </c>
      <c r="K139" s="12" t="s">
        <v>1176</v>
      </c>
    </row>
    <row r="140" customFormat="false" ht="15" hidden="false" customHeight="true" outlineLevel="0" collapsed="false">
      <c r="A140" s="12" t="s">
        <v>1180</v>
      </c>
      <c r="B140" s="12" t="s">
        <v>1181</v>
      </c>
      <c r="C140" s="12" t="s">
        <v>1182</v>
      </c>
      <c r="D140" s="15" t="s">
        <v>6</v>
      </c>
      <c r="E140" s="12" t="s">
        <v>1183</v>
      </c>
      <c r="F140" s="12" t="s">
        <v>169</v>
      </c>
      <c r="G140" s="13" t="s">
        <v>49</v>
      </c>
      <c r="H140" s="12"/>
      <c r="I140" s="12" t="s">
        <v>361</v>
      </c>
      <c r="J140" s="12" t="s">
        <v>169</v>
      </c>
      <c r="K140" s="12" t="s">
        <v>1176</v>
      </c>
    </row>
    <row r="141" customFormat="false" ht="15" hidden="false" customHeight="true" outlineLevel="0" collapsed="false">
      <c r="A141" s="12" t="s">
        <v>1184</v>
      </c>
      <c r="B141" s="12" t="s">
        <v>1181</v>
      </c>
      <c r="C141" s="12" t="s">
        <v>1185</v>
      </c>
      <c r="D141" s="15" t="s">
        <v>6</v>
      </c>
      <c r="E141" s="12" t="s">
        <v>169</v>
      </c>
      <c r="F141" s="12" t="s">
        <v>1186</v>
      </c>
      <c r="G141" s="13" t="s">
        <v>49</v>
      </c>
      <c r="H141" s="12"/>
      <c r="I141" s="12" t="s">
        <v>361</v>
      </c>
      <c r="J141" s="12" t="s">
        <v>169</v>
      </c>
      <c r="K141" s="12" t="s">
        <v>1176</v>
      </c>
    </row>
    <row r="142" customFormat="false" ht="54.75" hidden="false" customHeight="true" outlineLevel="0" collapsed="false">
      <c r="A142" s="12" t="s">
        <v>412</v>
      </c>
      <c r="B142" s="12" t="s">
        <v>1187</v>
      </c>
      <c r="C142" s="12" t="s">
        <v>1188</v>
      </c>
      <c r="D142" s="15" t="s">
        <v>6</v>
      </c>
      <c r="E142" s="12" t="s">
        <v>1179</v>
      </c>
      <c r="F142" s="12" t="s">
        <v>1189</v>
      </c>
      <c r="G142" s="13" t="s">
        <v>49</v>
      </c>
      <c r="H142" s="12" t="s">
        <v>1190</v>
      </c>
      <c r="I142" s="12" t="s">
        <v>361</v>
      </c>
      <c r="J142" s="12" t="s">
        <v>46</v>
      </c>
      <c r="K142" s="12" t="s">
        <v>1176</v>
      </c>
    </row>
    <row r="143" customFormat="false" ht="27.75" hidden="false" customHeight="true" outlineLevel="0" collapsed="false">
      <c r="A143" s="12" t="s">
        <v>1191</v>
      </c>
      <c r="B143" s="12" t="s">
        <v>1187</v>
      </c>
      <c r="C143" s="12" t="s">
        <v>1192</v>
      </c>
      <c r="D143" s="15" t="s">
        <v>6</v>
      </c>
      <c r="E143" s="12" t="s">
        <v>1193</v>
      </c>
      <c r="F143" s="12" t="s">
        <v>169</v>
      </c>
      <c r="G143" s="13" t="s">
        <v>49</v>
      </c>
      <c r="H143" s="12"/>
      <c r="I143" s="12" t="s">
        <v>361</v>
      </c>
      <c r="J143" s="12" t="s">
        <v>169</v>
      </c>
      <c r="K143" s="12" t="s">
        <v>1176</v>
      </c>
    </row>
    <row r="144" customFormat="false" ht="15" hidden="false" customHeight="true" outlineLevel="0" collapsed="false">
      <c r="A144" s="12" t="s">
        <v>1194</v>
      </c>
      <c r="B144" s="12" t="s">
        <v>1195</v>
      </c>
      <c r="C144" s="12" t="s">
        <v>1196</v>
      </c>
      <c r="D144" s="15" t="s">
        <v>6</v>
      </c>
      <c r="E144" s="12" t="s">
        <v>1197</v>
      </c>
      <c r="F144" s="12" t="s">
        <v>169</v>
      </c>
      <c r="G144" s="13" t="s">
        <v>49</v>
      </c>
      <c r="H144" s="12"/>
      <c r="I144" s="12" t="s">
        <v>361</v>
      </c>
      <c r="J144" s="12" t="s">
        <v>169</v>
      </c>
      <c r="K144" s="12" t="s">
        <v>1198</v>
      </c>
    </row>
    <row r="145" customFormat="false" ht="27.75" hidden="false" customHeight="true" outlineLevel="0" collapsed="false">
      <c r="A145" s="12" t="s">
        <v>1199</v>
      </c>
      <c r="B145" s="12" t="s">
        <v>1195</v>
      </c>
      <c r="C145" s="12" t="s">
        <v>1200</v>
      </c>
      <c r="D145" s="15" t="s">
        <v>6</v>
      </c>
      <c r="E145" s="12" t="s">
        <v>1083</v>
      </c>
      <c r="F145" s="12" t="s">
        <v>1201</v>
      </c>
      <c r="G145" s="13" t="s">
        <v>49</v>
      </c>
      <c r="H145" s="12" t="s">
        <v>1202</v>
      </c>
      <c r="I145" s="12" t="s">
        <v>47</v>
      </c>
      <c r="J145" s="12" t="s">
        <v>169</v>
      </c>
      <c r="K145" s="12" t="s">
        <v>1198</v>
      </c>
    </row>
    <row r="146" customFormat="false" ht="15" hidden="false" customHeight="true" outlineLevel="0" collapsed="false">
      <c r="A146" s="12" t="s">
        <v>1203</v>
      </c>
      <c r="B146" s="12" t="s">
        <v>1204</v>
      </c>
      <c r="C146" s="12" t="s">
        <v>1205</v>
      </c>
      <c r="D146" s="18" t="s">
        <v>10</v>
      </c>
      <c r="E146" s="12" t="s">
        <v>169</v>
      </c>
      <c r="F146" s="12" t="s">
        <v>1206</v>
      </c>
      <c r="G146" s="13" t="s">
        <v>49</v>
      </c>
      <c r="H146" s="12"/>
      <c r="I146" s="12" t="s">
        <v>361</v>
      </c>
      <c r="J146" s="12" t="s">
        <v>169</v>
      </c>
      <c r="K146" s="12" t="s">
        <v>1198</v>
      </c>
    </row>
    <row r="147" customFormat="false" ht="15" hidden="false" customHeight="true" outlineLevel="0" collapsed="false">
      <c r="A147" s="12" t="s">
        <v>1207</v>
      </c>
      <c r="B147" s="12" t="s">
        <v>1204</v>
      </c>
      <c r="C147" s="12" t="s">
        <v>1208</v>
      </c>
      <c r="D147" s="15" t="s">
        <v>6</v>
      </c>
      <c r="E147" s="12" t="s">
        <v>169</v>
      </c>
      <c r="F147" s="12" t="s">
        <v>169</v>
      </c>
      <c r="G147" s="13" t="s">
        <v>49</v>
      </c>
      <c r="H147" s="12"/>
      <c r="I147" s="12" t="s">
        <v>361</v>
      </c>
      <c r="J147" s="12" t="s">
        <v>169</v>
      </c>
      <c r="K147" s="12" t="s">
        <v>1198</v>
      </c>
    </row>
    <row r="148" customFormat="false" ht="15" hidden="false" customHeight="true" outlineLevel="0" collapsed="false">
      <c r="A148" s="12" t="s">
        <v>1209</v>
      </c>
      <c r="B148" s="12" t="s">
        <v>1210</v>
      </c>
      <c r="C148" s="12" t="s">
        <v>1211</v>
      </c>
      <c r="D148" s="15" t="s">
        <v>6</v>
      </c>
      <c r="E148" s="12" t="s">
        <v>169</v>
      </c>
      <c r="F148" s="12" t="s">
        <v>169</v>
      </c>
      <c r="G148" s="13" t="s">
        <v>49</v>
      </c>
      <c r="H148" s="12"/>
      <c r="I148" s="12" t="s">
        <v>361</v>
      </c>
      <c r="J148" s="12" t="s">
        <v>169</v>
      </c>
      <c r="K148" s="12" t="s">
        <v>1198</v>
      </c>
    </row>
    <row r="149" customFormat="false" ht="15" hidden="false" customHeight="true" outlineLevel="0" collapsed="false">
      <c r="A149" s="12" t="s">
        <v>1212</v>
      </c>
      <c r="B149" s="12" t="s">
        <v>1210</v>
      </c>
      <c r="C149" s="12" t="s">
        <v>1213</v>
      </c>
      <c r="D149" s="15" t="s">
        <v>6</v>
      </c>
      <c r="E149" s="12" t="s">
        <v>169</v>
      </c>
      <c r="F149" s="12" t="s">
        <v>169</v>
      </c>
      <c r="G149" s="13" t="s">
        <v>49</v>
      </c>
      <c r="H149" s="12"/>
      <c r="I149" s="12" t="s">
        <v>361</v>
      </c>
      <c r="J149" s="12" t="s">
        <v>169</v>
      </c>
      <c r="K149" s="12" t="s">
        <v>1198</v>
      </c>
    </row>
    <row r="150" customFormat="false" ht="54.75" hidden="false" customHeight="true" outlineLevel="0" collapsed="false">
      <c r="A150" s="12" t="s">
        <v>1214</v>
      </c>
      <c r="B150" s="12" t="s">
        <v>1215</v>
      </c>
      <c r="C150" s="12" t="s">
        <v>1216</v>
      </c>
      <c r="D150" s="15" t="s">
        <v>6</v>
      </c>
      <c r="E150" s="12" t="s">
        <v>1217</v>
      </c>
      <c r="F150" s="12" t="s">
        <v>1218</v>
      </c>
      <c r="G150" s="13" t="s">
        <v>49</v>
      </c>
      <c r="H150" s="12" t="s">
        <v>1219</v>
      </c>
      <c r="I150" s="12" t="s">
        <v>148</v>
      </c>
      <c r="J150" s="12" t="s">
        <v>46</v>
      </c>
      <c r="K150" s="12" t="s">
        <v>1198</v>
      </c>
    </row>
    <row r="151" customFormat="false" ht="15" hidden="false" customHeight="true" outlineLevel="0" collapsed="false">
      <c r="A151" s="12" t="s">
        <v>1220</v>
      </c>
      <c r="B151" s="12" t="s">
        <v>1221</v>
      </c>
      <c r="C151" s="12" t="s">
        <v>1222</v>
      </c>
      <c r="D151" s="15" t="s">
        <v>6</v>
      </c>
      <c r="E151" s="12" t="s">
        <v>169</v>
      </c>
      <c r="F151" s="12" t="s">
        <v>169</v>
      </c>
      <c r="G151" s="13" t="s">
        <v>49</v>
      </c>
      <c r="H151" s="12"/>
      <c r="I151" s="12" t="s">
        <v>361</v>
      </c>
      <c r="J151" s="12" t="s">
        <v>169</v>
      </c>
      <c r="K151" s="12" t="s">
        <v>1223</v>
      </c>
    </row>
    <row r="152" customFormat="false" ht="15" hidden="false" customHeight="true" outlineLevel="0" collapsed="false">
      <c r="A152" s="12" t="s">
        <v>1224</v>
      </c>
      <c r="B152" s="12" t="s">
        <v>1221</v>
      </c>
      <c r="C152" s="12" t="s">
        <v>1225</v>
      </c>
      <c r="D152" s="15" t="s">
        <v>6</v>
      </c>
      <c r="E152" s="12" t="s">
        <v>1226</v>
      </c>
      <c r="F152" s="12" t="s">
        <v>169</v>
      </c>
      <c r="G152" s="13" t="s">
        <v>49</v>
      </c>
      <c r="H152" s="12"/>
      <c r="I152" s="12" t="s">
        <v>361</v>
      </c>
      <c r="J152" s="12" t="s">
        <v>169</v>
      </c>
      <c r="K152" s="12" t="s">
        <v>1223</v>
      </c>
    </row>
    <row r="153" customFormat="false" ht="54.75" hidden="false" customHeight="true" outlineLevel="0" collapsed="false">
      <c r="A153" s="12" t="s">
        <v>407</v>
      </c>
      <c r="B153" s="12" t="s">
        <v>1221</v>
      </c>
      <c r="C153" s="12" t="s">
        <v>1227</v>
      </c>
      <c r="D153" s="15" t="s">
        <v>6</v>
      </c>
      <c r="E153" s="12" t="s">
        <v>1228</v>
      </c>
      <c r="F153" s="12" t="s">
        <v>1229</v>
      </c>
      <c r="G153" s="13" t="s">
        <v>49</v>
      </c>
      <c r="H153" s="12" t="s">
        <v>1230</v>
      </c>
      <c r="I153" s="12" t="s">
        <v>361</v>
      </c>
      <c r="J153" s="12" t="s">
        <v>46</v>
      </c>
      <c r="K153" s="12" t="s">
        <v>1223</v>
      </c>
    </row>
    <row r="154" customFormat="false" ht="27.75" hidden="false" customHeight="true" outlineLevel="0" collapsed="false">
      <c r="A154" s="12" t="s">
        <v>1231</v>
      </c>
      <c r="B154" s="12" t="s">
        <v>1221</v>
      </c>
      <c r="C154" s="12" t="s">
        <v>1232</v>
      </c>
      <c r="D154" s="15" t="s">
        <v>6</v>
      </c>
      <c r="E154" s="12" t="s">
        <v>1233</v>
      </c>
      <c r="F154" s="12" t="s">
        <v>1234</v>
      </c>
      <c r="G154" s="13" t="s">
        <v>49</v>
      </c>
      <c r="H154" s="12" t="s">
        <v>1235</v>
      </c>
      <c r="I154" s="12" t="s">
        <v>148</v>
      </c>
      <c r="J154" s="12" t="s">
        <v>46</v>
      </c>
      <c r="K154" s="12" t="s">
        <v>1223</v>
      </c>
    </row>
  </sheetData>
  <autoFilter ref="A1:K154"/>
  <dataValidations count="2">
    <dataValidation allowBlank="true" errorStyle="stop" operator="between" showDropDown="false" showErrorMessage="false" showInputMessage="false" sqref="D2:D154" type="list">
      <formula1>"Matches,Partial,Deviates,Missing,Not verified,N/A"</formula1>
      <formula2>0</formula2>
    </dataValidation>
    <dataValidation allowBlank="true" errorStyle="stop" operator="between" showDropDown="false" showErrorMessage="false" showInputMessage="false" sqref="G2:G154" type="list">
      <formula1>"Change system,Change paper,System + paper,Move to Limitations,Decision needed,None"</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7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8"/>
    <col collapsed="false" customWidth="true" hidden="false" outlineLevel="0" max="2" min="2" style="1" width="52"/>
    <col collapsed="false" customWidth="true" hidden="false" outlineLevel="0" max="3" min="3" style="1" width="26"/>
    <col collapsed="false" customWidth="true" hidden="false" outlineLevel="0" max="4" min="4" style="1" width="12"/>
    <col collapsed="false" customWidth="true" hidden="false" outlineLevel="0" max="5" min="5" style="1" width="20"/>
    <col collapsed="false" customWidth="true" hidden="false" outlineLevel="0" max="6" min="6" style="1" width="60"/>
  </cols>
  <sheetData>
    <row r="1" customFormat="false" ht="15" hidden="false" customHeight="true" outlineLevel="0" collapsed="false">
      <c r="A1" s="11" t="s">
        <v>1236</v>
      </c>
      <c r="B1" s="11" t="s">
        <v>1237</v>
      </c>
      <c r="C1" s="11" t="s">
        <v>1238</v>
      </c>
      <c r="D1" s="11" t="s">
        <v>3</v>
      </c>
      <c r="E1" s="11" t="s">
        <v>1239</v>
      </c>
      <c r="F1" s="11" t="s">
        <v>39</v>
      </c>
    </row>
    <row r="2" customFormat="false" ht="15" hidden="false" customHeight="true" outlineLevel="0" collapsed="false">
      <c r="A2" s="12" t="s">
        <v>1240</v>
      </c>
      <c r="B2" s="12" t="s">
        <v>1241</v>
      </c>
      <c r="C2" s="12" t="s">
        <v>1242</v>
      </c>
      <c r="D2" s="15" t="s">
        <v>6</v>
      </c>
      <c r="E2" s="12" t="s">
        <v>403</v>
      </c>
      <c r="F2" s="12" t="s">
        <v>1243</v>
      </c>
    </row>
    <row r="3" customFormat="false" ht="15" hidden="false" customHeight="true" outlineLevel="0" collapsed="false">
      <c r="A3" s="12" t="s">
        <v>1240</v>
      </c>
      <c r="B3" s="12" t="s">
        <v>1244</v>
      </c>
      <c r="C3" s="12" t="s">
        <v>1245</v>
      </c>
      <c r="D3" s="15" t="s">
        <v>6</v>
      </c>
      <c r="E3" s="12" t="s">
        <v>651</v>
      </c>
      <c r="F3" s="12" t="s">
        <v>1246</v>
      </c>
    </row>
    <row r="4" customFormat="false" ht="15" hidden="false" customHeight="true" outlineLevel="0" collapsed="false">
      <c r="A4" s="12" t="s">
        <v>1240</v>
      </c>
      <c r="B4" s="12" t="s">
        <v>1247</v>
      </c>
      <c r="C4" s="12" t="s">
        <v>1245</v>
      </c>
      <c r="D4" s="15" t="s">
        <v>6</v>
      </c>
      <c r="E4" s="12" t="s">
        <v>1248</v>
      </c>
      <c r="F4" s="12" t="s">
        <v>1249</v>
      </c>
    </row>
    <row r="5" customFormat="false" ht="15" hidden="false" customHeight="true" outlineLevel="0" collapsed="false">
      <c r="A5" s="12" t="s">
        <v>1240</v>
      </c>
      <c r="B5" s="12" t="s">
        <v>1250</v>
      </c>
      <c r="C5" s="12" t="s">
        <v>1245</v>
      </c>
      <c r="D5" s="15" t="s">
        <v>6</v>
      </c>
      <c r="E5" s="12" t="s">
        <v>1251</v>
      </c>
      <c r="F5" s="12"/>
    </row>
    <row r="6" customFormat="false" ht="15" hidden="false" customHeight="true" outlineLevel="0" collapsed="false">
      <c r="A6" s="12" t="s">
        <v>1240</v>
      </c>
      <c r="B6" s="12" t="s">
        <v>1252</v>
      </c>
      <c r="C6" s="12" t="s">
        <v>1245</v>
      </c>
      <c r="D6" s="15" t="s">
        <v>6</v>
      </c>
      <c r="E6" s="12" t="s">
        <v>1253</v>
      </c>
      <c r="F6" s="12" t="s">
        <v>1254</v>
      </c>
    </row>
    <row r="7" customFormat="false" ht="15" hidden="false" customHeight="true" outlineLevel="0" collapsed="false">
      <c r="A7" s="12" t="s">
        <v>1240</v>
      </c>
      <c r="B7" s="12" t="s">
        <v>1255</v>
      </c>
      <c r="C7" s="12" t="s">
        <v>1256</v>
      </c>
      <c r="D7" s="15" t="s">
        <v>6</v>
      </c>
      <c r="E7" s="12" t="s">
        <v>1257</v>
      </c>
      <c r="F7" s="12" t="s">
        <v>1258</v>
      </c>
    </row>
    <row r="8" customFormat="false" ht="15" hidden="false" customHeight="true" outlineLevel="0" collapsed="false">
      <c r="A8" s="12" t="s">
        <v>1240</v>
      </c>
      <c r="B8" s="12" t="s">
        <v>1259</v>
      </c>
      <c r="C8" s="12" t="s">
        <v>1260</v>
      </c>
      <c r="D8" s="15" t="s">
        <v>6</v>
      </c>
      <c r="E8" s="12" t="s">
        <v>937</v>
      </c>
      <c r="F8" s="12"/>
    </row>
    <row r="9" customFormat="false" ht="27.75" hidden="false" customHeight="true" outlineLevel="0" collapsed="false">
      <c r="A9" s="12" t="s">
        <v>1240</v>
      </c>
      <c r="B9" s="12" t="s">
        <v>1261</v>
      </c>
      <c r="C9" s="12" t="s">
        <v>1262</v>
      </c>
      <c r="D9" s="16" t="s">
        <v>6</v>
      </c>
      <c r="E9" s="12" t="s">
        <v>1263</v>
      </c>
      <c r="F9" s="12" t="s">
        <v>1264</v>
      </c>
    </row>
    <row r="10" customFormat="false" ht="27.75" hidden="false" customHeight="true" outlineLevel="0" collapsed="false">
      <c r="A10" s="12" t="s">
        <v>1240</v>
      </c>
      <c r="B10" s="12" t="s">
        <v>1265</v>
      </c>
      <c r="C10" s="12" t="s">
        <v>1262</v>
      </c>
      <c r="D10" s="15" t="s">
        <v>6</v>
      </c>
      <c r="E10" s="12" t="s">
        <v>1266</v>
      </c>
      <c r="F10" s="12" t="s">
        <v>1267</v>
      </c>
    </row>
    <row r="11" customFormat="false" ht="15" hidden="false" customHeight="true" outlineLevel="0" collapsed="false">
      <c r="A11" s="12" t="s">
        <v>1240</v>
      </c>
      <c r="B11" s="12" t="s">
        <v>1268</v>
      </c>
      <c r="C11" s="12" t="s">
        <v>1269</v>
      </c>
      <c r="D11" s="15" t="s">
        <v>6</v>
      </c>
      <c r="E11" s="12" t="s">
        <v>1270</v>
      </c>
      <c r="F11" s="12"/>
    </row>
    <row r="12" customFormat="false" ht="15" hidden="false" customHeight="true" outlineLevel="0" collapsed="false">
      <c r="A12" s="12" t="s">
        <v>1240</v>
      </c>
      <c r="B12" s="12" t="s">
        <v>1271</v>
      </c>
      <c r="C12" s="12" t="s">
        <v>1269</v>
      </c>
      <c r="D12" s="15" t="s">
        <v>6</v>
      </c>
      <c r="E12" s="12" t="s">
        <v>1272</v>
      </c>
      <c r="F12" s="12"/>
    </row>
    <row r="13" customFormat="false" ht="15" hidden="false" customHeight="true" outlineLevel="0" collapsed="false">
      <c r="A13" s="12" t="s">
        <v>1240</v>
      </c>
      <c r="B13" s="12" t="s">
        <v>1273</v>
      </c>
      <c r="C13" s="12" t="s">
        <v>1269</v>
      </c>
      <c r="D13" s="15" t="s">
        <v>6</v>
      </c>
      <c r="E13" s="12" t="s">
        <v>1274</v>
      </c>
      <c r="F13" s="12"/>
    </row>
    <row r="14" customFormat="false" ht="15" hidden="false" customHeight="true" outlineLevel="0" collapsed="false">
      <c r="A14" s="12" t="s">
        <v>1240</v>
      </c>
      <c r="B14" s="12" t="s">
        <v>1275</v>
      </c>
      <c r="C14" s="12" t="s">
        <v>1269</v>
      </c>
      <c r="D14" s="15" t="s">
        <v>6</v>
      </c>
      <c r="E14" s="12" t="s">
        <v>1276</v>
      </c>
      <c r="F14" s="12"/>
    </row>
    <row r="15" customFormat="false" ht="15" hidden="false" customHeight="true" outlineLevel="0" collapsed="false">
      <c r="A15" s="12" t="s">
        <v>1240</v>
      </c>
      <c r="B15" s="12" t="s">
        <v>1277</v>
      </c>
      <c r="C15" s="12" t="s">
        <v>1269</v>
      </c>
      <c r="D15" s="15" t="s">
        <v>6</v>
      </c>
      <c r="E15" s="12" t="s">
        <v>962</v>
      </c>
      <c r="F15" s="12"/>
    </row>
    <row r="16" customFormat="false" ht="15" hidden="false" customHeight="true" outlineLevel="0" collapsed="false">
      <c r="A16" s="12" t="s">
        <v>1240</v>
      </c>
      <c r="B16" s="12" t="s">
        <v>1278</v>
      </c>
      <c r="C16" s="12" t="s">
        <v>1269</v>
      </c>
      <c r="D16" s="15" t="s">
        <v>6</v>
      </c>
      <c r="E16" s="12" t="s">
        <v>1279</v>
      </c>
      <c r="F16" s="12" t="s">
        <v>1280</v>
      </c>
    </row>
    <row r="17" customFormat="false" ht="15" hidden="false" customHeight="true" outlineLevel="0" collapsed="false">
      <c r="A17" s="12" t="s">
        <v>1240</v>
      </c>
      <c r="B17" s="12" t="s">
        <v>1281</v>
      </c>
      <c r="C17" s="12" t="s">
        <v>1269</v>
      </c>
      <c r="D17" s="15" t="s">
        <v>6</v>
      </c>
      <c r="E17" s="12" t="s">
        <v>1282</v>
      </c>
      <c r="F17" s="12"/>
    </row>
    <row r="18" customFormat="false" ht="15" hidden="false" customHeight="true" outlineLevel="0" collapsed="false">
      <c r="A18" s="12" t="s">
        <v>1240</v>
      </c>
      <c r="B18" s="12" t="s">
        <v>1283</v>
      </c>
      <c r="C18" s="12" t="s">
        <v>1269</v>
      </c>
      <c r="D18" s="15" t="s">
        <v>6</v>
      </c>
      <c r="E18" s="12" t="s">
        <v>1284</v>
      </c>
      <c r="F18" s="12" t="s">
        <v>1285</v>
      </c>
    </row>
    <row r="19" customFormat="false" ht="15" hidden="false" customHeight="true" outlineLevel="0" collapsed="false">
      <c r="A19" s="12" t="s">
        <v>1240</v>
      </c>
      <c r="B19" s="12" t="s">
        <v>1286</v>
      </c>
      <c r="C19" s="12" t="s">
        <v>1269</v>
      </c>
      <c r="D19" s="15" t="s">
        <v>6</v>
      </c>
      <c r="E19" s="12" t="s">
        <v>1112</v>
      </c>
      <c r="F19" s="12" t="s">
        <v>1287</v>
      </c>
    </row>
    <row r="20" customFormat="false" ht="15" hidden="false" customHeight="true" outlineLevel="0" collapsed="false">
      <c r="A20" s="12" t="s">
        <v>1240</v>
      </c>
      <c r="B20" s="12" t="s">
        <v>1288</v>
      </c>
      <c r="C20" s="12" t="s">
        <v>1289</v>
      </c>
      <c r="D20" s="15" t="s">
        <v>6</v>
      </c>
      <c r="E20" s="12" t="s">
        <v>1290</v>
      </c>
      <c r="F20" s="12" t="s">
        <v>1291</v>
      </c>
    </row>
    <row r="21" customFormat="false" ht="15" hidden="false" customHeight="true" outlineLevel="0" collapsed="false">
      <c r="A21" s="12" t="s">
        <v>1240</v>
      </c>
      <c r="B21" s="12" t="s">
        <v>1292</v>
      </c>
      <c r="C21" s="12" t="s">
        <v>1289</v>
      </c>
      <c r="D21" s="15" t="s">
        <v>6</v>
      </c>
      <c r="E21" s="12" t="s">
        <v>389</v>
      </c>
      <c r="F21" s="12"/>
    </row>
    <row r="22" customFormat="false" ht="15" hidden="false" customHeight="true" outlineLevel="0" collapsed="false">
      <c r="A22" s="12" t="s">
        <v>1240</v>
      </c>
      <c r="B22" s="12" t="s">
        <v>1293</v>
      </c>
      <c r="C22" s="12" t="s">
        <v>1289</v>
      </c>
      <c r="D22" s="15" t="s">
        <v>6</v>
      </c>
      <c r="E22" s="12" t="s">
        <v>1294</v>
      </c>
      <c r="F22" s="12"/>
    </row>
    <row r="23" customFormat="false" ht="15" hidden="false" customHeight="true" outlineLevel="0" collapsed="false">
      <c r="A23" s="12" t="s">
        <v>1240</v>
      </c>
      <c r="B23" s="12" t="s">
        <v>1295</v>
      </c>
      <c r="C23" s="12" t="s">
        <v>1296</v>
      </c>
      <c r="D23" s="15" t="s">
        <v>6</v>
      </c>
      <c r="E23" s="12" t="s">
        <v>1297</v>
      </c>
      <c r="F23" s="12"/>
    </row>
    <row r="24" customFormat="false" ht="15" hidden="false" customHeight="true" outlineLevel="0" collapsed="false">
      <c r="A24" s="12" t="s">
        <v>1240</v>
      </c>
      <c r="B24" s="12" t="s">
        <v>1298</v>
      </c>
      <c r="C24" s="12" t="s">
        <v>1296</v>
      </c>
      <c r="D24" s="15" t="s">
        <v>6</v>
      </c>
      <c r="E24" s="12" t="s">
        <v>1299</v>
      </c>
      <c r="F24" s="12" t="s">
        <v>1300</v>
      </c>
    </row>
    <row r="25" customFormat="false" ht="15" hidden="false" customHeight="true" outlineLevel="0" collapsed="false">
      <c r="A25" s="12" t="s">
        <v>1240</v>
      </c>
      <c r="B25" s="12" t="s">
        <v>1301</v>
      </c>
      <c r="C25" s="12" t="s">
        <v>1296</v>
      </c>
      <c r="D25" s="15" t="s">
        <v>6</v>
      </c>
      <c r="E25" s="12" t="s">
        <v>1302</v>
      </c>
      <c r="F25" s="12"/>
    </row>
    <row r="26" customFormat="false" ht="27.75" hidden="false" customHeight="true" outlineLevel="0" collapsed="false">
      <c r="A26" s="12" t="s">
        <v>1240</v>
      </c>
      <c r="B26" s="12" t="s">
        <v>1303</v>
      </c>
      <c r="C26" s="12" t="s">
        <v>1296</v>
      </c>
      <c r="D26" s="16" t="s">
        <v>7</v>
      </c>
      <c r="E26" s="12" t="s">
        <v>1304</v>
      </c>
      <c r="F26" s="12" t="s">
        <v>1305</v>
      </c>
    </row>
    <row r="27" customFormat="false" ht="15" hidden="false" customHeight="true" outlineLevel="0" collapsed="false">
      <c r="A27" s="12" t="s">
        <v>1306</v>
      </c>
      <c r="B27" s="12" t="s">
        <v>1252</v>
      </c>
      <c r="C27" s="12" t="s">
        <v>1245</v>
      </c>
      <c r="D27" s="15" t="s">
        <v>6</v>
      </c>
      <c r="E27" s="12" t="s">
        <v>746</v>
      </c>
      <c r="F27" s="12" t="s">
        <v>1254</v>
      </c>
    </row>
    <row r="28" customFormat="false" ht="15" hidden="false" customHeight="true" outlineLevel="0" collapsed="false">
      <c r="A28" s="12" t="s">
        <v>1306</v>
      </c>
      <c r="B28" s="12" t="s">
        <v>1241</v>
      </c>
      <c r="C28" s="12" t="s">
        <v>1245</v>
      </c>
      <c r="D28" s="15" t="s">
        <v>6</v>
      </c>
      <c r="E28" s="12" t="s">
        <v>403</v>
      </c>
      <c r="F28" s="12"/>
    </row>
    <row r="29" customFormat="false" ht="15" hidden="false" customHeight="true" outlineLevel="0" collapsed="false">
      <c r="A29" s="12" t="s">
        <v>1306</v>
      </c>
      <c r="B29" s="12" t="s">
        <v>1244</v>
      </c>
      <c r="C29" s="12" t="s">
        <v>1245</v>
      </c>
      <c r="D29" s="15" t="s">
        <v>6</v>
      </c>
      <c r="E29" s="12" t="s">
        <v>651</v>
      </c>
      <c r="F29" s="12"/>
    </row>
    <row r="30" customFormat="false" ht="15" hidden="false" customHeight="true" outlineLevel="0" collapsed="false">
      <c r="A30" s="12" t="s">
        <v>1306</v>
      </c>
      <c r="B30" s="12" t="s">
        <v>1247</v>
      </c>
      <c r="C30" s="12" t="s">
        <v>1245</v>
      </c>
      <c r="D30" s="15" t="s">
        <v>6</v>
      </c>
      <c r="E30" s="12" t="s">
        <v>88</v>
      </c>
      <c r="F30" s="12" t="s">
        <v>1249</v>
      </c>
    </row>
    <row r="31" customFormat="false" ht="15" hidden="false" customHeight="true" outlineLevel="0" collapsed="false">
      <c r="A31" s="12" t="s">
        <v>1306</v>
      </c>
      <c r="B31" s="12" t="s">
        <v>1307</v>
      </c>
      <c r="C31" s="12" t="s">
        <v>1245</v>
      </c>
      <c r="D31" s="15" t="s">
        <v>6</v>
      </c>
      <c r="E31" s="12" t="s">
        <v>1308</v>
      </c>
      <c r="F31" s="12"/>
    </row>
    <row r="32" customFormat="false" ht="15" hidden="false" customHeight="true" outlineLevel="0" collapsed="false">
      <c r="A32" s="12" t="s">
        <v>1306</v>
      </c>
      <c r="B32" s="12" t="s">
        <v>1309</v>
      </c>
      <c r="C32" s="12" t="s">
        <v>1310</v>
      </c>
      <c r="D32" s="15" t="s">
        <v>6</v>
      </c>
      <c r="E32" s="12" t="s">
        <v>497</v>
      </c>
      <c r="F32" s="12" t="s">
        <v>1311</v>
      </c>
    </row>
    <row r="33" customFormat="false" ht="15" hidden="false" customHeight="true" outlineLevel="0" collapsed="false">
      <c r="A33" s="12" t="s">
        <v>1306</v>
      </c>
      <c r="B33" s="12" t="s">
        <v>1312</v>
      </c>
      <c r="C33" s="12" t="s">
        <v>1310</v>
      </c>
      <c r="D33" s="15" t="s">
        <v>6</v>
      </c>
      <c r="E33" s="12" t="s">
        <v>1313</v>
      </c>
      <c r="F33" s="12"/>
    </row>
    <row r="34" customFormat="false" ht="15" hidden="false" customHeight="true" outlineLevel="0" collapsed="false">
      <c r="A34" s="12" t="s">
        <v>1306</v>
      </c>
      <c r="B34" s="12" t="s">
        <v>1265</v>
      </c>
      <c r="C34" s="12" t="s">
        <v>1310</v>
      </c>
      <c r="D34" s="15" t="s">
        <v>6</v>
      </c>
      <c r="E34" s="12" t="s">
        <v>1314</v>
      </c>
      <c r="F34" s="12"/>
    </row>
    <row r="35" customFormat="false" ht="15" hidden="false" customHeight="true" outlineLevel="0" collapsed="false">
      <c r="A35" s="12" t="s">
        <v>1315</v>
      </c>
      <c r="B35" s="12" t="s">
        <v>1316</v>
      </c>
      <c r="C35" s="12" t="s">
        <v>1296</v>
      </c>
      <c r="D35" s="15" t="s">
        <v>6</v>
      </c>
      <c r="E35" s="12" t="s">
        <v>1304</v>
      </c>
      <c r="F35" s="12" t="s">
        <v>1317</v>
      </c>
    </row>
    <row r="36" customFormat="false" ht="15" hidden="false" customHeight="true" outlineLevel="0" collapsed="false">
      <c r="A36" s="12" t="s">
        <v>1315</v>
      </c>
      <c r="B36" s="12" t="s">
        <v>1318</v>
      </c>
      <c r="C36" s="12" t="s">
        <v>1296</v>
      </c>
      <c r="D36" s="15" t="s">
        <v>6</v>
      </c>
      <c r="E36" s="12" t="s">
        <v>213</v>
      </c>
      <c r="F36" s="12"/>
    </row>
    <row r="37" customFormat="false" ht="15" hidden="false" customHeight="true" outlineLevel="0" collapsed="false">
      <c r="A37" s="12" t="s">
        <v>1315</v>
      </c>
      <c r="B37" s="12" t="s">
        <v>1295</v>
      </c>
      <c r="C37" s="12" t="s">
        <v>1296</v>
      </c>
      <c r="D37" s="15" t="s">
        <v>6</v>
      </c>
      <c r="E37" s="12" t="s">
        <v>421</v>
      </c>
      <c r="F37" s="12"/>
    </row>
    <row r="38" customFormat="false" ht="15" hidden="false" customHeight="true" outlineLevel="0" collapsed="false">
      <c r="A38" s="12" t="s">
        <v>1315</v>
      </c>
      <c r="B38" s="12" t="s">
        <v>1319</v>
      </c>
      <c r="C38" s="12" t="s">
        <v>1296</v>
      </c>
      <c r="D38" s="15" t="s">
        <v>6</v>
      </c>
      <c r="E38" s="12" t="s">
        <v>735</v>
      </c>
      <c r="F38" s="12"/>
    </row>
    <row r="39" customFormat="false" ht="15" hidden="false" customHeight="true" outlineLevel="0" collapsed="false">
      <c r="A39" s="12" t="s">
        <v>1315</v>
      </c>
      <c r="B39" s="12" t="s">
        <v>1320</v>
      </c>
      <c r="C39" s="12" t="s">
        <v>1296</v>
      </c>
      <c r="D39" s="15" t="s">
        <v>6</v>
      </c>
      <c r="E39" s="12" t="s">
        <v>740</v>
      </c>
      <c r="F39" s="12" t="s">
        <v>1321</v>
      </c>
    </row>
    <row r="40" customFormat="false" ht="15" hidden="false" customHeight="true" outlineLevel="0" collapsed="false">
      <c r="A40" s="12" t="s">
        <v>1315</v>
      </c>
      <c r="B40" s="12" t="s">
        <v>1322</v>
      </c>
      <c r="C40" s="12" t="s">
        <v>1296</v>
      </c>
      <c r="D40" s="15" t="s">
        <v>6</v>
      </c>
      <c r="E40" s="12" t="s">
        <v>1036</v>
      </c>
      <c r="F40" s="12" t="s">
        <v>1323</v>
      </c>
    </row>
    <row r="41" customFormat="false" ht="15" hidden="false" customHeight="true" outlineLevel="0" collapsed="false">
      <c r="A41" s="12" t="s">
        <v>1315</v>
      </c>
      <c r="B41" s="12" t="s">
        <v>1298</v>
      </c>
      <c r="C41" s="12" t="s">
        <v>1296</v>
      </c>
      <c r="D41" s="15" t="s">
        <v>6</v>
      </c>
      <c r="E41" s="12" t="s">
        <v>1324</v>
      </c>
      <c r="F41" s="12"/>
    </row>
    <row r="42" customFormat="false" ht="27.75" hidden="false" customHeight="true" outlineLevel="0" collapsed="false">
      <c r="A42" s="12" t="s">
        <v>1315</v>
      </c>
      <c r="B42" s="12" t="s">
        <v>1325</v>
      </c>
      <c r="C42" s="12" t="s">
        <v>1296</v>
      </c>
      <c r="D42" s="15" t="s">
        <v>6</v>
      </c>
      <c r="E42" s="12" t="s">
        <v>1326</v>
      </c>
      <c r="F42" s="12" t="s">
        <v>1327</v>
      </c>
    </row>
    <row r="43" customFormat="false" ht="15" hidden="false" customHeight="true" outlineLevel="0" collapsed="false">
      <c r="A43" s="12" t="s">
        <v>1328</v>
      </c>
      <c r="B43" s="12" t="s">
        <v>1268</v>
      </c>
      <c r="C43" s="12" t="s">
        <v>1329</v>
      </c>
      <c r="D43" s="15" t="s">
        <v>6</v>
      </c>
      <c r="E43" s="12" t="s">
        <v>381</v>
      </c>
      <c r="F43" s="12"/>
    </row>
    <row r="44" customFormat="false" ht="15" hidden="false" customHeight="true" outlineLevel="0" collapsed="false">
      <c r="A44" s="12" t="s">
        <v>1328</v>
      </c>
      <c r="B44" s="12" t="s">
        <v>1330</v>
      </c>
      <c r="C44" s="12" t="s">
        <v>1329</v>
      </c>
      <c r="D44" s="15" t="s">
        <v>6</v>
      </c>
      <c r="E44" s="12" t="s">
        <v>1331</v>
      </c>
      <c r="F44" s="12" t="s">
        <v>1332</v>
      </c>
    </row>
    <row r="45" customFormat="false" ht="27.75" hidden="false" customHeight="true" outlineLevel="0" collapsed="false">
      <c r="A45" s="12" t="s">
        <v>1328</v>
      </c>
      <c r="B45" s="12" t="s">
        <v>1333</v>
      </c>
      <c r="C45" s="12" t="s">
        <v>1329</v>
      </c>
      <c r="D45" s="15" t="s">
        <v>6</v>
      </c>
      <c r="E45" s="12" t="s">
        <v>1334</v>
      </c>
      <c r="F45" s="12"/>
    </row>
    <row r="46" customFormat="false" ht="27.75" hidden="false" customHeight="true" outlineLevel="0" collapsed="false">
      <c r="A46" s="12" t="s">
        <v>1328</v>
      </c>
      <c r="B46" s="12" t="s">
        <v>1335</v>
      </c>
      <c r="C46" s="12" t="s">
        <v>1329</v>
      </c>
      <c r="D46" s="15" t="s">
        <v>6</v>
      </c>
      <c r="E46" s="12" t="s">
        <v>1284</v>
      </c>
      <c r="F46" s="12" t="s">
        <v>1285</v>
      </c>
    </row>
    <row r="47" customFormat="false" ht="27.75" hidden="false" customHeight="true" outlineLevel="0" collapsed="false">
      <c r="A47" s="12" t="s">
        <v>1328</v>
      </c>
      <c r="B47" s="12" t="s">
        <v>1336</v>
      </c>
      <c r="C47" s="12" t="s">
        <v>1329</v>
      </c>
      <c r="D47" s="15" t="s">
        <v>6</v>
      </c>
      <c r="E47" s="12" t="s">
        <v>1282</v>
      </c>
      <c r="F47" s="12"/>
    </row>
    <row r="48" customFormat="false" ht="15" hidden="false" customHeight="true" outlineLevel="0" collapsed="false">
      <c r="A48" s="12" t="s">
        <v>1328</v>
      </c>
      <c r="B48" s="12" t="s">
        <v>1337</v>
      </c>
      <c r="C48" s="12" t="s">
        <v>1329</v>
      </c>
      <c r="D48" s="15" t="s">
        <v>6</v>
      </c>
      <c r="E48" s="12" t="s">
        <v>824</v>
      </c>
      <c r="F48" s="12" t="s">
        <v>1338</v>
      </c>
    </row>
    <row r="49" customFormat="false" ht="15" hidden="false" customHeight="true" outlineLevel="0" collapsed="false">
      <c r="A49" s="12" t="s">
        <v>1339</v>
      </c>
      <c r="B49" s="12" t="s">
        <v>1259</v>
      </c>
      <c r="C49" s="12" t="s">
        <v>1260</v>
      </c>
      <c r="D49" s="15" t="s">
        <v>6</v>
      </c>
      <c r="E49" s="12" t="s">
        <v>937</v>
      </c>
      <c r="F49" s="12"/>
    </row>
    <row r="50" customFormat="false" ht="15" hidden="false" customHeight="true" outlineLevel="0" collapsed="false">
      <c r="A50" s="12" t="s">
        <v>1339</v>
      </c>
      <c r="B50" s="12" t="s">
        <v>1340</v>
      </c>
      <c r="C50" s="12" t="s">
        <v>1341</v>
      </c>
      <c r="D50" s="15" t="s">
        <v>6</v>
      </c>
      <c r="E50" s="12" t="s">
        <v>983</v>
      </c>
      <c r="F50" s="12" t="s">
        <v>1342</v>
      </c>
    </row>
    <row r="51" customFormat="false" ht="15" hidden="false" customHeight="true" outlineLevel="0" collapsed="false">
      <c r="A51" s="12" t="s">
        <v>1339</v>
      </c>
      <c r="B51" s="12" t="s">
        <v>1343</v>
      </c>
      <c r="C51" s="12" t="s">
        <v>1341</v>
      </c>
      <c r="D51" s="15" t="s">
        <v>6</v>
      </c>
      <c r="E51" s="12" t="s">
        <v>1344</v>
      </c>
      <c r="F51" s="12" t="s">
        <v>1345</v>
      </c>
    </row>
    <row r="52" customFormat="false" ht="27.75" hidden="false" customHeight="true" outlineLevel="0" collapsed="false">
      <c r="A52" s="12" t="s">
        <v>1339</v>
      </c>
      <c r="B52" s="12" t="s">
        <v>1346</v>
      </c>
      <c r="C52" s="12" t="s">
        <v>1329</v>
      </c>
      <c r="D52" s="15" t="s">
        <v>6</v>
      </c>
      <c r="E52" s="12" t="s">
        <v>941</v>
      </c>
      <c r="F52" s="12" t="s">
        <v>1347</v>
      </c>
    </row>
    <row r="53" customFormat="false" ht="27.75" hidden="false" customHeight="true" outlineLevel="0" collapsed="false">
      <c r="A53" s="12" t="s">
        <v>1339</v>
      </c>
      <c r="B53" s="12" t="s">
        <v>1348</v>
      </c>
      <c r="C53" s="12" t="s">
        <v>1329</v>
      </c>
      <c r="D53" s="15" t="s">
        <v>6</v>
      </c>
      <c r="E53" s="12" t="s">
        <v>1349</v>
      </c>
      <c r="F53" s="12"/>
    </row>
    <row r="54" customFormat="false" ht="15" hidden="false" customHeight="true" outlineLevel="0" collapsed="false">
      <c r="A54" s="12" t="s">
        <v>1339</v>
      </c>
      <c r="B54" s="12" t="s">
        <v>1350</v>
      </c>
      <c r="C54" s="12" t="s">
        <v>1329</v>
      </c>
      <c r="D54" s="15" t="s">
        <v>6</v>
      </c>
      <c r="E54" s="12" t="s">
        <v>1351</v>
      </c>
      <c r="F54" s="12"/>
    </row>
    <row r="55" customFormat="false" ht="27.75" hidden="false" customHeight="true" outlineLevel="0" collapsed="false">
      <c r="A55" s="12" t="s">
        <v>1339</v>
      </c>
      <c r="B55" s="12" t="s">
        <v>1352</v>
      </c>
      <c r="C55" s="12" t="s">
        <v>1329</v>
      </c>
      <c r="D55" s="15" t="s">
        <v>6</v>
      </c>
      <c r="E55" s="12" t="s">
        <v>1020</v>
      </c>
      <c r="F55" s="12"/>
    </row>
    <row r="56" customFormat="false" ht="15" hidden="false" customHeight="true" outlineLevel="0" collapsed="false">
      <c r="A56" s="12" t="s">
        <v>1339</v>
      </c>
      <c r="B56" s="12" t="s">
        <v>1353</v>
      </c>
      <c r="C56" s="12" t="s">
        <v>1329</v>
      </c>
      <c r="D56" s="15" t="s">
        <v>6</v>
      </c>
      <c r="E56" s="12" t="s">
        <v>1279</v>
      </c>
      <c r="F56" s="12" t="s">
        <v>1354</v>
      </c>
    </row>
    <row r="57" customFormat="false" ht="27.75" hidden="false" customHeight="true" outlineLevel="0" collapsed="false">
      <c r="A57" s="12" t="s">
        <v>1339</v>
      </c>
      <c r="B57" s="12" t="s">
        <v>1355</v>
      </c>
      <c r="C57" s="12" t="s">
        <v>1329</v>
      </c>
      <c r="D57" s="15" t="s">
        <v>6</v>
      </c>
      <c r="E57" s="12" t="s">
        <v>962</v>
      </c>
      <c r="F57" s="12" t="s">
        <v>1356</v>
      </c>
    </row>
    <row r="58" customFormat="false" ht="27.75" hidden="false" customHeight="true" outlineLevel="0" collapsed="false">
      <c r="A58" s="12" t="s">
        <v>1339</v>
      </c>
      <c r="B58" s="12" t="s">
        <v>1357</v>
      </c>
      <c r="C58" s="12" t="s">
        <v>169</v>
      </c>
      <c r="D58" s="19" t="s">
        <v>11</v>
      </c>
      <c r="E58" s="12" t="s">
        <v>1358</v>
      </c>
      <c r="F58" s="12" t="s">
        <v>1359</v>
      </c>
    </row>
    <row r="59" customFormat="false" ht="15" hidden="false" customHeight="true" outlineLevel="0" collapsed="false">
      <c r="A59" s="12" t="s">
        <v>1339</v>
      </c>
      <c r="B59" s="12" t="s">
        <v>1360</v>
      </c>
      <c r="C59" s="12" t="s">
        <v>169</v>
      </c>
      <c r="D59" s="19" t="s">
        <v>11</v>
      </c>
      <c r="E59" s="12" t="s">
        <v>979</v>
      </c>
      <c r="F59" s="12" t="s">
        <v>1361</v>
      </c>
    </row>
    <row r="60" customFormat="false" ht="15" hidden="false" customHeight="true" outlineLevel="0" collapsed="false">
      <c r="A60" s="12" t="s">
        <v>1362</v>
      </c>
      <c r="B60" s="12" t="s">
        <v>1255</v>
      </c>
      <c r="C60" s="12" t="s">
        <v>1329</v>
      </c>
      <c r="D60" s="15" t="s">
        <v>6</v>
      </c>
      <c r="E60" s="12" t="s">
        <v>1257</v>
      </c>
      <c r="F60" s="12" t="s">
        <v>1254</v>
      </c>
    </row>
    <row r="61" customFormat="false" ht="15" hidden="false" customHeight="true" outlineLevel="0" collapsed="false">
      <c r="A61" s="12" t="s">
        <v>1362</v>
      </c>
      <c r="B61" s="12" t="s">
        <v>1273</v>
      </c>
      <c r="C61" s="12" t="s">
        <v>1329</v>
      </c>
      <c r="D61" s="15" t="s">
        <v>6</v>
      </c>
      <c r="E61" s="12" t="s">
        <v>1274</v>
      </c>
      <c r="F61" s="12" t="s">
        <v>1363</v>
      </c>
    </row>
    <row r="62" customFormat="false" ht="15" hidden="false" customHeight="true" outlineLevel="0" collapsed="false">
      <c r="A62" s="12" t="s">
        <v>1362</v>
      </c>
      <c r="B62" s="12" t="s">
        <v>1364</v>
      </c>
      <c r="C62" s="12" t="s">
        <v>1329</v>
      </c>
      <c r="D62" s="15" t="s">
        <v>6</v>
      </c>
      <c r="E62" s="12" t="s">
        <v>889</v>
      </c>
      <c r="F62" s="12"/>
    </row>
    <row r="63" customFormat="false" ht="15" hidden="false" customHeight="true" outlineLevel="0" collapsed="false">
      <c r="A63" s="12" t="s">
        <v>1362</v>
      </c>
      <c r="B63" s="12" t="s">
        <v>1275</v>
      </c>
      <c r="C63" s="12" t="s">
        <v>1329</v>
      </c>
      <c r="D63" s="15" t="s">
        <v>6</v>
      </c>
      <c r="E63" s="12" t="s">
        <v>1276</v>
      </c>
      <c r="F63" s="12" t="s">
        <v>1365</v>
      </c>
    </row>
    <row r="64" customFormat="false" ht="15" hidden="false" customHeight="true" outlineLevel="0" collapsed="false">
      <c r="A64" s="12" t="s">
        <v>1362</v>
      </c>
      <c r="B64" s="12" t="s">
        <v>1366</v>
      </c>
      <c r="C64" s="12" t="s">
        <v>1329</v>
      </c>
      <c r="D64" s="15" t="s">
        <v>6</v>
      </c>
      <c r="E64" s="12" t="s">
        <v>500</v>
      </c>
      <c r="F64" s="12" t="s">
        <v>1367</v>
      </c>
    </row>
    <row r="65" customFormat="false" ht="15" hidden="false" customHeight="true" outlineLevel="0" collapsed="false">
      <c r="A65" s="12" t="s">
        <v>1362</v>
      </c>
      <c r="B65" s="12" t="s">
        <v>1368</v>
      </c>
      <c r="C65" s="12" t="s">
        <v>1329</v>
      </c>
      <c r="D65" s="15" t="s">
        <v>6</v>
      </c>
      <c r="E65" s="12" t="s">
        <v>500</v>
      </c>
      <c r="F65" s="12" t="s">
        <v>1369</v>
      </c>
    </row>
    <row r="66" customFormat="false" ht="15" hidden="false" customHeight="true" outlineLevel="0" collapsed="false">
      <c r="A66" s="12" t="s">
        <v>1362</v>
      </c>
      <c r="B66" s="12" t="s">
        <v>1370</v>
      </c>
      <c r="C66" s="12" t="s">
        <v>1329</v>
      </c>
      <c r="D66" s="15" t="s">
        <v>6</v>
      </c>
      <c r="E66" s="12" t="s">
        <v>1371</v>
      </c>
      <c r="F66" s="12" t="s">
        <v>1372</v>
      </c>
    </row>
    <row r="67" customFormat="false" ht="15" hidden="false" customHeight="true" outlineLevel="0" collapsed="false">
      <c r="A67" s="12" t="s">
        <v>1362</v>
      </c>
      <c r="B67" s="12" t="s">
        <v>1286</v>
      </c>
      <c r="C67" s="12" t="s">
        <v>1329</v>
      </c>
      <c r="D67" s="15" t="s">
        <v>6</v>
      </c>
      <c r="E67" s="12" t="s">
        <v>1373</v>
      </c>
      <c r="F67" s="12"/>
    </row>
    <row r="68" customFormat="false" ht="15" hidden="false" customHeight="true" outlineLevel="0" collapsed="false">
      <c r="A68" s="12" t="s">
        <v>1362</v>
      </c>
      <c r="B68" s="12" t="s">
        <v>1288</v>
      </c>
      <c r="C68" s="12" t="s">
        <v>1289</v>
      </c>
      <c r="D68" s="15" t="s">
        <v>6</v>
      </c>
      <c r="E68" s="12" t="s">
        <v>1374</v>
      </c>
      <c r="F68" s="12" t="s">
        <v>1291</v>
      </c>
    </row>
    <row r="69" customFormat="false" ht="15" hidden="false" customHeight="true" outlineLevel="0" collapsed="false">
      <c r="A69" s="12" t="s">
        <v>1362</v>
      </c>
      <c r="B69" s="12" t="s">
        <v>1375</v>
      </c>
      <c r="C69" s="12" t="s">
        <v>1289</v>
      </c>
      <c r="D69" s="15" t="s">
        <v>6</v>
      </c>
      <c r="E69" s="12" t="s">
        <v>906</v>
      </c>
      <c r="F69" s="12" t="s">
        <v>1376</v>
      </c>
    </row>
    <row r="70" customFormat="false" ht="15" hidden="false" customHeight="true" outlineLevel="0" collapsed="false">
      <c r="A70" s="12" t="s">
        <v>1362</v>
      </c>
      <c r="B70" s="12" t="s">
        <v>1377</v>
      </c>
      <c r="C70" s="12" t="s">
        <v>1289</v>
      </c>
      <c r="D70" s="15" t="s">
        <v>6</v>
      </c>
      <c r="E70" s="12" t="s">
        <v>1294</v>
      </c>
      <c r="F70" s="12" t="s">
        <v>1378</v>
      </c>
    </row>
    <row r="71" customFormat="false" ht="15" hidden="false" customHeight="true" outlineLevel="0" collapsed="false">
      <c r="A71" s="12" t="s">
        <v>1362</v>
      </c>
      <c r="B71" s="12" t="s">
        <v>1293</v>
      </c>
      <c r="C71" s="12" t="s">
        <v>1289</v>
      </c>
      <c r="D71" s="15" t="s">
        <v>6</v>
      </c>
      <c r="E71" s="12" t="s">
        <v>389</v>
      </c>
      <c r="F71" s="12" t="s">
        <v>1379</v>
      </c>
    </row>
  </sheetData>
  <autoFilter ref="A1:F71"/>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4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8"/>
    <col collapsed="false" customWidth="true" hidden="false" outlineLevel="0" max="2" min="2" style="1" width="30"/>
    <col collapsed="false" customWidth="true" hidden="false" outlineLevel="0" max="3" min="3" style="1" width="52"/>
    <col collapsed="false" customWidth="true" hidden="false" outlineLevel="0" max="4" min="4" style="1" width="46"/>
    <col collapsed="false" customWidth="true" hidden="false" outlineLevel="0" max="5" min="5" style="1" width="12"/>
    <col collapsed="false" customWidth="true" hidden="false" outlineLevel="0" max="6" min="6" style="1" width="16"/>
    <col collapsed="false" customWidth="true" hidden="false" outlineLevel="0" max="7" min="7" style="1" width="40"/>
  </cols>
  <sheetData>
    <row r="1" customFormat="false" ht="27.75" hidden="false" customHeight="true" outlineLevel="0" collapsed="false">
      <c r="A1" s="11" t="s">
        <v>1236</v>
      </c>
      <c r="B1" s="11" t="s">
        <v>1380</v>
      </c>
      <c r="C1" s="11" t="s">
        <v>1381</v>
      </c>
      <c r="D1" s="11" t="s">
        <v>1382</v>
      </c>
      <c r="E1" s="11" t="s">
        <v>3</v>
      </c>
      <c r="F1" s="11" t="s">
        <v>13</v>
      </c>
      <c r="G1" s="11" t="s">
        <v>39</v>
      </c>
    </row>
    <row r="2" customFormat="false" ht="27.75" hidden="false" customHeight="true" outlineLevel="0" collapsed="false">
      <c r="A2" s="12" t="s">
        <v>1383</v>
      </c>
      <c r="B2" s="12" t="s">
        <v>1384</v>
      </c>
      <c r="C2" s="12" t="s">
        <v>1385</v>
      </c>
      <c r="D2" s="12" t="s">
        <v>1386</v>
      </c>
      <c r="E2" s="15" t="s">
        <v>6</v>
      </c>
      <c r="F2" s="12" t="s">
        <v>49</v>
      </c>
      <c r="G2" s="12"/>
    </row>
    <row r="3" customFormat="false" ht="15" hidden="false" customHeight="true" outlineLevel="0" collapsed="false">
      <c r="A3" s="12" t="s">
        <v>1383</v>
      </c>
      <c r="B3" s="12" t="s">
        <v>1387</v>
      </c>
      <c r="C3" s="12" t="s">
        <v>1388</v>
      </c>
      <c r="D3" s="12" t="s">
        <v>1389</v>
      </c>
      <c r="E3" s="15" t="s">
        <v>6</v>
      </c>
      <c r="F3" s="12" t="s">
        <v>49</v>
      </c>
      <c r="G3" s="12"/>
    </row>
    <row r="4" customFormat="false" ht="15" hidden="false" customHeight="true" outlineLevel="0" collapsed="false">
      <c r="A4" s="12" t="s">
        <v>1383</v>
      </c>
      <c r="B4" s="12" t="s">
        <v>1390</v>
      </c>
      <c r="C4" s="12" t="s">
        <v>1391</v>
      </c>
      <c r="D4" s="12" t="s">
        <v>1392</v>
      </c>
      <c r="E4" s="15" t="s">
        <v>6</v>
      </c>
      <c r="F4" s="12" t="s">
        <v>49</v>
      </c>
      <c r="G4" s="12" t="s">
        <v>1393</v>
      </c>
    </row>
    <row r="5" customFormat="false" ht="41.25" hidden="false" customHeight="true" outlineLevel="0" collapsed="false">
      <c r="A5" s="12" t="s">
        <v>1383</v>
      </c>
      <c r="B5" s="12" t="s">
        <v>1394</v>
      </c>
      <c r="C5" s="12" t="s">
        <v>1395</v>
      </c>
      <c r="D5" s="12" t="s">
        <v>169</v>
      </c>
      <c r="E5" s="19" t="s">
        <v>11</v>
      </c>
      <c r="F5" s="12" t="s">
        <v>15</v>
      </c>
      <c r="G5" s="12" t="s">
        <v>1396</v>
      </c>
    </row>
    <row r="6" customFormat="false" ht="41.25" hidden="false" customHeight="true" outlineLevel="0" collapsed="false">
      <c r="A6" s="12" t="s">
        <v>1383</v>
      </c>
      <c r="B6" s="12" t="s">
        <v>1397</v>
      </c>
      <c r="C6" s="12" t="s">
        <v>1398</v>
      </c>
      <c r="D6" s="12" t="s">
        <v>1399</v>
      </c>
      <c r="E6" s="17" t="s">
        <v>8</v>
      </c>
      <c r="F6" s="12" t="s">
        <v>15</v>
      </c>
      <c r="G6" s="12" t="s">
        <v>1400</v>
      </c>
    </row>
    <row r="7" customFormat="false" ht="41.25" hidden="false" customHeight="true" outlineLevel="0" collapsed="false">
      <c r="A7" s="12" t="s">
        <v>1401</v>
      </c>
      <c r="B7" s="12" t="s">
        <v>1402</v>
      </c>
      <c r="C7" s="12" t="s">
        <v>1403</v>
      </c>
      <c r="D7" s="12" t="s">
        <v>1404</v>
      </c>
      <c r="E7" s="17" t="s">
        <v>8</v>
      </c>
      <c r="F7" s="12" t="s">
        <v>15</v>
      </c>
      <c r="G7" s="12" t="s">
        <v>1405</v>
      </c>
    </row>
    <row r="8" customFormat="false" ht="27.75" hidden="false" customHeight="true" outlineLevel="0" collapsed="false">
      <c r="A8" s="12" t="s">
        <v>1401</v>
      </c>
      <c r="B8" s="12" t="s">
        <v>1406</v>
      </c>
      <c r="C8" s="12" t="s">
        <v>1407</v>
      </c>
      <c r="D8" s="12" t="s">
        <v>1408</v>
      </c>
      <c r="E8" s="15" t="s">
        <v>6</v>
      </c>
      <c r="F8" s="12" t="s">
        <v>15</v>
      </c>
      <c r="G8" s="12" t="s">
        <v>1409</v>
      </c>
    </row>
    <row r="9" customFormat="false" ht="27.75" hidden="false" customHeight="true" outlineLevel="0" collapsed="false">
      <c r="A9" s="12" t="s">
        <v>1401</v>
      </c>
      <c r="B9" s="12" t="s">
        <v>1410</v>
      </c>
      <c r="C9" s="12" t="s">
        <v>1411</v>
      </c>
      <c r="D9" s="12" t="s">
        <v>1412</v>
      </c>
      <c r="E9" s="15" t="s">
        <v>6</v>
      </c>
      <c r="F9" s="12" t="s">
        <v>49</v>
      </c>
      <c r="G9" s="12" t="s">
        <v>1413</v>
      </c>
    </row>
    <row r="10" customFormat="false" ht="41.25" hidden="false" customHeight="true" outlineLevel="0" collapsed="false">
      <c r="A10" s="12" t="s">
        <v>1401</v>
      </c>
      <c r="B10" s="12" t="s">
        <v>1414</v>
      </c>
      <c r="C10" s="12" t="s">
        <v>1415</v>
      </c>
      <c r="D10" s="12" t="s">
        <v>1416</v>
      </c>
      <c r="E10" s="16" t="s">
        <v>7</v>
      </c>
      <c r="F10" s="12" t="s">
        <v>49</v>
      </c>
      <c r="G10" s="12" t="s">
        <v>1417</v>
      </c>
    </row>
    <row r="11" customFormat="false" ht="15" hidden="false" customHeight="true" outlineLevel="0" collapsed="false">
      <c r="A11" s="12" t="s">
        <v>1418</v>
      </c>
      <c r="B11" s="12" t="s">
        <v>1419</v>
      </c>
      <c r="C11" s="12" t="s">
        <v>1420</v>
      </c>
      <c r="D11" s="12" t="s">
        <v>1421</v>
      </c>
      <c r="E11" s="15" t="s">
        <v>6</v>
      </c>
      <c r="F11" s="12" t="s">
        <v>49</v>
      </c>
      <c r="G11" s="12" t="s">
        <v>1422</v>
      </c>
    </row>
    <row r="12" customFormat="false" ht="15" hidden="false" customHeight="true" outlineLevel="0" collapsed="false">
      <c r="A12" s="12" t="s">
        <v>1418</v>
      </c>
      <c r="B12" s="12" t="s">
        <v>1423</v>
      </c>
      <c r="C12" s="12" t="s">
        <v>1424</v>
      </c>
      <c r="D12" s="12" t="s">
        <v>1425</v>
      </c>
      <c r="E12" s="15" t="s">
        <v>6</v>
      </c>
      <c r="F12" s="12" t="s">
        <v>49</v>
      </c>
      <c r="G12" s="12"/>
    </row>
    <row r="13" customFormat="false" ht="54.75" hidden="false" customHeight="true" outlineLevel="0" collapsed="false">
      <c r="A13" s="12" t="s">
        <v>1418</v>
      </c>
      <c r="B13" s="12" t="s">
        <v>1426</v>
      </c>
      <c r="C13" s="12" t="s">
        <v>1427</v>
      </c>
      <c r="D13" s="12" t="s">
        <v>1428</v>
      </c>
      <c r="E13" s="17" t="s">
        <v>8</v>
      </c>
      <c r="F13" s="12" t="s">
        <v>15</v>
      </c>
      <c r="G13" s="12" t="s">
        <v>1429</v>
      </c>
    </row>
    <row r="14" customFormat="false" ht="15" hidden="false" customHeight="true" outlineLevel="0" collapsed="false">
      <c r="A14" s="12" t="s">
        <v>1418</v>
      </c>
      <c r="B14" s="12" t="s">
        <v>1430</v>
      </c>
      <c r="C14" s="12" t="s">
        <v>1431</v>
      </c>
      <c r="D14" s="12" t="s">
        <v>1432</v>
      </c>
      <c r="E14" s="17" t="s">
        <v>8</v>
      </c>
      <c r="F14" s="12" t="s">
        <v>15</v>
      </c>
      <c r="G14" s="12" t="s">
        <v>1433</v>
      </c>
    </row>
    <row r="15" customFormat="false" ht="27.75" hidden="false" customHeight="true" outlineLevel="0" collapsed="false">
      <c r="A15" s="12" t="s">
        <v>1418</v>
      </c>
      <c r="B15" s="12" t="s">
        <v>1434</v>
      </c>
      <c r="C15" s="12" t="s">
        <v>1435</v>
      </c>
      <c r="D15" s="12" t="s">
        <v>1436</v>
      </c>
      <c r="E15" s="15" t="s">
        <v>6</v>
      </c>
      <c r="F15" s="12" t="s">
        <v>49</v>
      </c>
      <c r="G15" s="12" t="s">
        <v>1437</v>
      </c>
    </row>
    <row r="16" customFormat="false" ht="27.75" hidden="false" customHeight="true" outlineLevel="0" collapsed="false">
      <c r="A16" s="12" t="s">
        <v>1418</v>
      </c>
      <c r="B16" s="12" t="s">
        <v>1438</v>
      </c>
      <c r="C16" s="12" t="s">
        <v>1439</v>
      </c>
      <c r="D16" s="12" t="s">
        <v>1440</v>
      </c>
      <c r="E16" s="15" t="s">
        <v>6</v>
      </c>
      <c r="F16" s="12" t="s">
        <v>49</v>
      </c>
      <c r="G16" s="12" t="s">
        <v>1441</v>
      </c>
    </row>
    <row r="17" customFormat="false" ht="27.75" hidden="false" customHeight="true" outlineLevel="0" collapsed="false">
      <c r="A17" s="12" t="s">
        <v>1418</v>
      </c>
      <c r="B17" s="12" t="s">
        <v>1397</v>
      </c>
      <c r="C17" s="12" t="s">
        <v>1398</v>
      </c>
      <c r="D17" s="12" t="s">
        <v>1442</v>
      </c>
      <c r="E17" s="17" t="s">
        <v>8</v>
      </c>
      <c r="F17" s="12" t="s">
        <v>15</v>
      </c>
      <c r="G17" s="12" t="s">
        <v>1443</v>
      </c>
    </row>
    <row r="18" customFormat="false" ht="27.75" hidden="false" customHeight="true" outlineLevel="0" collapsed="false">
      <c r="A18" s="12" t="s">
        <v>1444</v>
      </c>
      <c r="B18" s="12" t="s">
        <v>1445</v>
      </c>
      <c r="C18" s="12" t="s">
        <v>1446</v>
      </c>
      <c r="D18" s="12" t="s">
        <v>1447</v>
      </c>
      <c r="E18" s="17" t="s">
        <v>8</v>
      </c>
      <c r="F18" s="12" t="s">
        <v>15</v>
      </c>
      <c r="G18" s="12" t="s">
        <v>1448</v>
      </c>
    </row>
    <row r="19" customFormat="false" ht="27.75" hidden="false" customHeight="true" outlineLevel="0" collapsed="false">
      <c r="A19" s="12" t="s">
        <v>1444</v>
      </c>
      <c r="B19" s="12" t="s">
        <v>1449</v>
      </c>
      <c r="C19" s="12" t="s">
        <v>1450</v>
      </c>
      <c r="D19" s="12" t="s">
        <v>1451</v>
      </c>
      <c r="E19" s="17" t="s">
        <v>8</v>
      </c>
      <c r="F19" s="12" t="s">
        <v>15</v>
      </c>
      <c r="G19" s="12" t="s">
        <v>1452</v>
      </c>
    </row>
    <row r="20" customFormat="false" ht="27.75" hidden="false" customHeight="true" outlineLevel="0" collapsed="false">
      <c r="A20" s="12" t="s">
        <v>1444</v>
      </c>
      <c r="B20" s="12" t="s">
        <v>1453</v>
      </c>
      <c r="C20" s="12" t="s">
        <v>1454</v>
      </c>
      <c r="D20" s="12" t="s">
        <v>1455</v>
      </c>
      <c r="E20" s="15" t="s">
        <v>6</v>
      </c>
      <c r="F20" s="12" t="s">
        <v>49</v>
      </c>
      <c r="G20" s="12" t="s">
        <v>1456</v>
      </c>
    </row>
    <row r="21" customFormat="false" ht="27.75" hidden="false" customHeight="true" outlineLevel="0" collapsed="false">
      <c r="A21" s="12" t="s">
        <v>1444</v>
      </c>
      <c r="B21" s="12" t="s">
        <v>1457</v>
      </c>
      <c r="C21" s="12" t="s">
        <v>1458</v>
      </c>
      <c r="D21" s="12" t="s">
        <v>1459</v>
      </c>
      <c r="E21" s="16" t="s">
        <v>7</v>
      </c>
      <c r="F21" s="12" t="s">
        <v>14</v>
      </c>
      <c r="G21" s="12" t="s">
        <v>1460</v>
      </c>
    </row>
    <row r="22" customFormat="false" ht="27.75" hidden="false" customHeight="true" outlineLevel="0" collapsed="false">
      <c r="A22" s="12" t="s">
        <v>1444</v>
      </c>
      <c r="B22" s="12" t="s">
        <v>1461</v>
      </c>
      <c r="C22" s="12" t="s">
        <v>1462</v>
      </c>
      <c r="D22" s="12" t="s">
        <v>1463</v>
      </c>
      <c r="E22" s="15" t="s">
        <v>6</v>
      </c>
      <c r="F22" s="12" t="s">
        <v>49</v>
      </c>
      <c r="G22" s="12"/>
    </row>
    <row r="23" customFormat="false" ht="27.75" hidden="false" customHeight="true" outlineLevel="0" collapsed="false">
      <c r="A23" s="12" t="s">
        <v>1444</v>
      </c>
      <c r="B23" s="12" t="s">
        <v>1464</v>
      </c>
      <c r="C23" s="12" t="s">
        <v>1465</v>
      </c>
      <c r="D23" s="12" t="s">
        <v>1466</v>
      </c>
      <c r="E23" s="17" t="s">
        <v>8</v>
      </c>
      <c r="F23" s="12" t="s">
        <v>15</v>
      </c>
      <c r="G23" s="12" t="s">
        <v>1467</v>
      </c>
    </row>
    <row r="24" customFormat="false" ht="15" hidden="false" customHeight="true" outlineLevel="0" collapsed="false">
      <c r="A24" s="12" t="s">
        <v>1444</v>
      </c>
      <c r="B24" s="12" t="s">
        <v>1468</v>
      </c>
      <c r="C24" s="12" t="s">
        <v>1469</v>
      </c>
      <c r="D24" s="12" t="s">
        <v>1470</v>
      </c>
      <c r="E24" s="17" t="s">
        <v>8</v>
      </c>
      <c r="F24" s="12" t="s">
        <v>15</v>
      </c>
      <c r="G24" s="12" t="s">
        <v>1471</v>
      </c>
    </row>
    <row r="25" customFormat="false" ht="27.75" hidden="false" customHeight="true" outlineLevel="0" collapsed="false">
      <c r="A25" s="12" t="s">
        <v>1444</v>
      </c>
      <c r="B25" s="12" t="s">
        <v>1472</v>
      </c>
      <c r="C25" s="12" t="s">
        <v>1473</v>
      </c>
      <c r="D25" s="12" t="s">
        <v>1474</v>
      </c>
      <c r="E25" s="17" t="s">
        <v>8</v>
      </c>
      <c r="F25" s="12" t="s">
        <v>15</v>
      </c>
      <c r="G25" s="12" t="s">
        <v>1475</v>
      </c>
    </row>
    <row r="26" customFormat="false" ht="27.75" hidden="false" customHeight="true" outlineLevel="0" collapsed="false">
      <c r="A26" s="12" t="s">
        <v>1444</v>
      </c>
      <c r="B26" s="12" t="s">
        <v>1397</v>
      </c>
      <c r="C26" s="12" t="s">
        <v>1398</v>
      </c>
      <c r="D26" s="12" t="s">
        <v>1476</v>
      </c>
      <c r="E26" s="17" t="s">
        <v>8</v>
      </c>
      <c r="F26" s="12" t="s">
        <v>49</v>
      </c>
      <c r="G26" s="12" t="s">
        <v>1477</v>
      </c>
    </row>
    <row r="27" customFormat="false" ht="27.75" hidden="false" customHeight="true" outlineLevel="0" collapsed="false">
      <c r="A27" s="12" t="s">
        <v>1478</v>
      </c>
      <c r="B27" s="12" t="s">
        <v>1479</v>
      </c>
      <c r="C27" s="12" t="s">
        <v>1480</v>
      </c>
      <c r="D27" s="12" t="s">
        <v>1481</v>
      </c>
      <c r="E27" s="15" t="s">
        <v>6</v>
      </c>
      <c r="F27" s="12" t="s">
        <v>49</v>
      </c>
      <c r="G27" s="12"/>
    </row>
    <row r="28" customFormat="false" ht="27.75" hidden="false" customHeight="true" outlineLevel="0" collapsed="false">
      <c r="A28" s="12" t="s">
        <v>1478</v>
      </c>
      <c r="B28" s="12" t="s">
        <v>1482</v>
      </c>
      <c r="C28" s="12" t="s">
        <v>1483</v>
      </c>
      <c r="D28" s="12" t="s">
        <v>1484</v>
      </c>
      <c r="E28" s="15" t="s">
        <v>6</v>
      </c>
      <c r="F28" s="12" t="s">
        <v>49</v>
      </c>
      <c r="G28" s="12" t="s">
        <v>1485</v>
      </c>
    </row>
    <row r="29" customFormat="false" ht="41.25" hidden="false" customHeight="true" outlineLevel="0" collapsed="false">
      <c r="A29" s="12" t="s">
        <v>1478</v>
      </c>
      <c r="B29" s="12" t="s">
        <v>1486</v>
      </c>
      <c r="C29" s="12" t="s">
        <v>1487</v>
      </c>
      <c r="D29" s="12" t="s">
        <v>1488</v>
      </c>
      <c r="E29" s="17" t="s">
        <v>8</v>
      </c>
      <c r="F29" s="12" t="s">
        <v>15</v>
      </c>
      <c r="G29" s="12" t="s">
        <v>1489</v>
      </c>
    </row>
    <row r="30" customFormat="false" ht="27.75" hidden="false" customHeight="true" outlineLevel="0" collapsed="false">
      <c r="A30" s="12" t="s">
        <v>1478</v>
      </c>
      <c r="B30" s="12" t="s">
        <v>1490</v>
      </c>
      <c r="C30" s="12" t="s">
        <v>1491</v>
      </c>
      <c r="D30" s="12" t="s">
        <v>1492</v>
      </c>
      <c r="E30" s="17" t="s">
        <v>8</v>
      </c>
      <c r="F30" s="12" t="s">
        <v>15</v>
      </c>
      <c r="G30" s="12" t="s">
        <v>1493</v>
      </c>
    </row>
    <row r="31" customFormat="false" ht="41.25" hidden="false" customHeight="true" outlineLevel="0" collapsed="false">
      <c r="A31" s="12" t="s">
        <v>1478</v>
      </c>
      <c r="B31" s="12" t="s">
        <v>1494</v>
      </c>
      <c r="C31" s="12" t="s">
        <v>1495</v>
      </c>
      <c r="D31" s="12" t="s">
        <v>1496</v>
      </c>
      <c r="E31" s="16" t="s">
        <v>7</v>
      </c>
      <c r="F31" s="12" t="s">
        <v>14</v>
      </c>
      <c r="G31" s="12" t="s">
        <v>1497</v>
      </c>
    </row>
    <row r="32" customFormat="false" ht="27.75" hidden="false" customHeight="true" outlineLevel="0" collapsed="false">
      <c r="A32" s="12" t="s">
        <v>1478</v>
      </c>
      <c r="B32" s="12" t="s">
        <v>1498</v>
      </c>
      <c r="C32" s="12" t="s">
        <v>1499</v>
      </c>
      <c r="D32" s="12" t="s">
        <v>1500</v>
      </c>
      <c r="E32" s="15" t="s">
        <v>6</v>
      </c>
      <c r="F32" s="12" t="s">
        <v>49</v>
      </c>
      <c r="G32" s="12" t="s">
        <v>1501</v>
      </c>
    </row>
    <row r="33" customFormat="false" ht="27.75" hidden="false" customHeight="true" outlineLevel="0" collapsed="false">
      <c r="A33" s="12" t="s">
        <v>1478</v>
      </c>
      <c r="B33" s="12" t="s">
        <v>1502</v>
      </c>
      <c r="C33" s="12" t="s">
        <v>1503</v>
      </c>
      <c r="D33" s="12" t="s">
        <v>169</v>
      </c>
      <c r="E33" s="19" t="s">
        <v>11</v>
      </c>
      <c r="F33" s="12" t="s">
        <v>15</v>
      </c>
      <c r="G33" s="12" t="s">
        <v>1504</v>
      </c>
    </row>
    <row r="34" customFormat="false" ht="27.75" hidden="false" customHeight="true" outlineLevel="0" collapsed="false">
      <c r="A34" s="12" t="s">
        <v>1505</v>
      </c>
      <c r="B34" s="12" t="s">
        <v>1506</v>
      </c>
      <c r="C34" s="12" t="s">
        <v>1507</v>
      </c>
      <c r="D34" s="12" t="s">
        <v>1508</v>
      </c>
      <c r="E34" s="15" t="s">
        <v>6</v>
      </c>
      <c r="F34" s="12" t="s">
        <v>49</v>
      </c>
      <c r="G34" s="12"/>
    </row>
    <row r="35" customFormat="false" ht="27.75" hidden="false" customHeight="true" outlineLevel="0" collapsed="false">
      <c r="A35" s="12" t="s">
        <v>1505</v>
      </c>
      <c r="B35" s="12" t="s">
        <v>1509</v>
      </c>
      <c r="C35" s="12" t="s">
        <v>1510</v>
      </c>
      <c r="D35" s="12" t="s">
        <v>1511</v>
      </c>
      <c r="E35" s="15" t="s">
        <v>6</v>
      </c>
      <c r="F35" s="12" t="s">
        <v>49</v>
      </c>
      <c r="G35" s="12" t="s">
        <v>1512</v>
      </c>
    </row>
    <row r="36" customFormat="false" ht="15" hidden="false" customHeight="true" outlineLevel="0" collapsed="false">
      <c r="A36" s="12" t="s">
        <v>1505</v>
      </c>
      <c r="B36" s="12" t="s">
        <v>1513</v>
      </c>
      <c r="C36" s="12" t="s">
        <v>1514</v>
      </c>
      <c r="D36" s="12" t="s">
        <v>1515</v>
      </c>
      <c r="E36" s="15" t="s">
        <v>6</v>
      </c>
      <c r="F36" s="12" t="s">
        <v>49</v>
      </c>
      <c r="G36" s="12" t="s">
        <v>1516</v>
      </c>
    </row>
    <row r="37" customFormat="false" ht="27.75" hidden="false" customHeight="true" outlineLevel="0" collapsed="false">
      <c r="A37" s="12" t="s">
        <v>1505</v>
      </c>
      <c r="B37" s="12" t="s">
        <v>1517</v>
      </c>
      <c r="C37" s="12" t="s">
        <v>1518</v>
      </c>
      <c r="D37" s="12" t="s">
        <v>1519</v>
      </c>
      <c r="E37" s="15" t="s">
        <v>6</v>
      </c>
      <c r="F37" s="12" t="s">
        <v>49</v>
      </c>
      <c r="G37" s="12" t="s">
        <v>1520</v>
      </c>
    </row>
    <row r="38" customFormat="false" ht="27.75" hidden="false" customHeight="true" outlineLevel="0" collapsed="false">
      <c r="A38" s="12" t="s">
        <v>1505</v>
      </c>
      <c r="B38" s="12" t="s">
        <v>1521</v>
      </c>
      <c r="C38" s="12" t="s">
        <v>1522</v>
      </c>
      <c r="D38" s="12" t="s">
        <v>1523</v>
      </c>
      <c r="E38" s="15" t="s">
        <v>6</v>
      </c>
      <c r="F38" s="12" t="s">
        <v>49</v>
      </c>
      <c r="G38" s="12" t="s">
        <v>1524</v>
      </c>
    </row>
    <row r="39" customFormat="false" ht="27.75" hidden="false" customHeight="true" outlineLevel="0" collapsed="false">
      <c r="A39" s="12" t="s">
        <v>1525</v>
      </c>
      <c r="B39" s="12" t="s">
        <v>1526</v>
      </c>
      <c r="C39" s="12" t="s">
        <v>1527</v>
      </c>
      <c r="D39" s="12" t="s">
        <v>1528</v>
      </c>
      <c r="E39" s="15" t="s">
        <v>6</v>
      </c>
      <c r="F39" s="12" t="s">
        <v>15</v>
      </c>
      <c r="G39" s="12" t="s">
        <v>1529</v>
      </c>
    </row>
    <row r="40" customFormat="false" ht="41.25" hidden="false" customHeight="true" outlineLevel="0" collapsed="false">
      <c r="A40" s="12" t="s">
        <v>1525</v>
      </c>
      <c r="B40" s="12" t="s">
        <v>1530</v>
      </c>
      <c r="C40" s="12" t="s">
        <v>1531</v>
      </c>
      <c r="D40" s="12" t="s">
        <v>1532</v>
      </c>
      <c r="E40" s="15" t="s">
        <v>6</v>
      </c>
      <c r="F40" s="12" t="s">
        <v>49</v>
      </c>
      <c r="G40" s="12" t="s">
        <v>1533</v>
      </c>
    </row>
    <row r="41" customFormat="false" ht="15" hidden="false" customHeight="true" outlineLevel="0" collapsed="false">
      <c r="A41" s="12" t="s">
        <v>1525</v>
      </c>
      <c r="B41" s="12" t="s">
        <v>1534</v>
      </c>
      <c r="C41" s="12" t="s">
        <v>1535</v>
      </c>
      <c r="D41" s="12" t="s">
        <v>1536</v>
      </c>
      <c r="E41" s="15" t="s">
        <v>6</v>
      </c>
      <c r="F41" s="12" t="s">
        <v>49</v>
      </c>
      <c r="G41" s="12"/>
    </row>
    <row r="42" customFormat="false" ht="15" hidden="false" customHeight="true" outlineLevel="0" collapsed="false">
      <c r="A42" s="12" t="s">
        <v>1525</v>
      </c>
      <c r="B42" s="12" t="s">
        <v>1537</v>
      </c>
      <c r="C42" s="12" t="s">
        <v>1538</v>
      </c>
      <c r="D42" s="12" t="s">
        <v>1539</v>
      </c>
      <c r="E42" s="16" t="s">
        <v>7</v>
      </c>
      <c r="F42" s="12" t="s">
        <v>15</v>
      </c>
      <c r="G42" s="12" t="s">
        <v>1540</v>
      </c>
    </row>
    <row r="43" customFormat="false" ht="27.75" hidden="false" customHeight="true" outlineLevel="0" collapsed="false">
      <c r="A43" s="12" t="s">
        <v>1541</v>
      </c>
      <c r="B43" s="12" t="s">
        <v>1542</v>
      </c>
      <c r="C43" s="12" t="s">
        <v>1543</v>
      </c>
      <c r="D43" s="12" t="s">
        <v>1544</v>
      </c>
      <c r="E43" s="15" t="s">
        <v>6</v>
      </c>
      <c r="F43" s="12" t="s">
        <v>49</v>
      </c>
      <c r="G43" s="12" t="s">
        <v>1545</v>
      </c>
    </row>
    <row r="44" customFormat="false" ht="27.75" hidden="false" customHeight="true" outlineLevel="0" collapsed="false">
      <c r="A44" s="12" t="s">
        <v>1541</v>
      </c>
      <c r="B44" s="12" t="s">
        <v>1546</v>
      </c>
      <c r="C44" s="12" t="s">
        <v>1547</v>
      </c>
      <c r="D44" s="12" t="s">
        <v>1548</v>
      </c>
      <c r="E44" s="15" t="s">
        <v>6</v>
      </c>
      <c r="F44" s="12" t="s">
        <v>49</v>
      </c>
      <c r="G44" s="12" t="s">
        <v>1549</v>
      </c>
    </row>
    <row r="45" customFormat="false" ht="27.75" hidden="false" customHeight="true" outlineLevel="0" collapsed="false">
      <c r="A45" s="12" t="s">
        <v>1541</v>
      </c>
      <c r="B45" s="12" t="s">
        <v>1550</v>
      </c>
      <c r="C45" s="12" t="s">
        <v>1551</v>
      </c>
      <c r="D45" s="12" t="s">
        <v>1552</v>
      </c>
      <c r="E45" s="15" t="s">
        <v>6</v>
      </c>
      <c r="F45" s="12" t="s">
        <v>49</v>
      </c>
      <c r="G45" s="12" t="s">
        <v>1553</v>
      </c>
    </row>
    <row r="46" customFormat="false" ht="27.75" hidden="false" customHeight="true" outlineLevel="0" collapsed="false">
      <c r="A46" s="12" t="s">
        <v>1541</v>
      </c>
      <c r="B46" s="12" t="s">
        <v>1554</v>
      </c>
      <c r="C46" s="12" t="s">
        <v>1555</v>
      </c>
      <c r="D46" s="12" t="s">
        <v>169</v>
      </c>
      <c r="E46" s="19" t="s">
        <v>11</v>
      </c>
      <c r="F46" s="12" t="s">
        <v>15</v>
      </c>
      <c r="G46" s="12" t="s">
        <v>1556</v>
      </c>
    </row>
  </sheetData>
  <autoFilter ref="A1:G46"/>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2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6"/>
    <col collapsed="false" customWidth="true" hidden="false" outlineLevel="0" max="2" min="2" style="1" width="30"/>
    <col collapsed="false" customWidth="true" hidden="false" outlineLevel="0" max="3" min="3" style="1" width="70"/>
    <col collapsed="false" customWidth="true" hidden="false" outlineLevel="0" max="4" min="4" style="1" width="34"/>
    <col collapsed="false" customWidth="true" hidden="false" outlineLevel="0" max="5" min="5" style="1" width="52"/>
  </cols>
  <sheetData>
    <row r="1" customFormat="false" ht="15" hidden="false" customHeight="true" outlineLevel="0" collapsed="false">
      <c r="A1" s="11" t="s">
        <v>587</v>
      </c>
      <c r="B1" s="11" t="s">
        <v>1557</v>
      </c>
      <c r="C1" s="11" t="s">
        <v>1558</v>
      </c>
      <c r="D1" s="11" t="s">
        <v>1559</v>
      </c>
      <c r="E1" s="11" t="s">
        <v>13</v>
      </c>
    </row>
    <row r="2" customFormat="false" ht="41.25" hidden="false" customHeight="true" outlineLevel="0" collapsed="false">
      <c r="A2" s="12" t="s">
        <v>1560</v>
      </c>
      <c r="B2" s="12" t="s">
        <v>1561</v>
      </c>
      <c r="C2" s="12" t="s">
        <v>1562</v>
      </c>
      <c r="D2" s="12" t="s">
        <v>1563</v>
      </c>
      <c r="E2" s="12" t="s">
        <v>1564</v>
      </c>
    </row>
    <row r="3" customFormat="false" ht="41.25" hidden="false" customHeight="true" outlineLevel="0" collapsed="false">
      <c r="A3" s="12" t="s">
        <v>1565</v>
      </c>
      <c r="B3" s="12" t="s">
        <v>1566</v>
      </c>
      <c r="C3" s="12" t="s">
        <v>1567</v>
      </c>
      <c r="D3" s="12" t="s">
        <v>1568</v>
      </c>
      <c r="E3" s="12" t="s">
        <v>1569</v>
      </c>
    </row>
    <row r="4" customFormat="false" ht="54.75" hidden="false" customHeight="true" outlineLevel="0" collapsed="false">
      <c r="A4" s="12" t="s">
        <v>1570</v>
      </c>
      <c r="B4" s="12" t="s">
        <v>1571</v>
      </c>
      <c r="C4" s="12" t="s">
        <v>1572</v>
      </c>
      <c r="D4" s="12" t="s">
        <v>1573</v>
      </c>
      <c r="E4" s="12" t="s">
        <v>1574</v>
      </c>
    </row>
    <row r="5" customFormat="false" ht="54.75" hidden="false" customHeight="true" outlineLevel="0" collapsed="false">
      <c r="A5" s="12" t="s">
        <v>1575</v>
      </c>
      <c r="B5" s="12" t="s">
        <v>1576</v>
      </c>
      <c r="C5" s="12" t="s">
        <v>1577</v>
      </c>
      <c r="D5" s="12" t="s">
        <v>1578</v>
      </c>
      <c r="E5" s="12" t="s">
        <v>1579</v>
      </c>
    </row>
    <row r="6" customFormat="false" ht="41.25" hidden="false" customHeight="true" outlineLevel="0" collapsed="false">
      <c r="A6" s="12" t="s">
        <v>1580</v>
      </c>
      <c r="B6" s="12" t="s">
        <v>1581</v>
      </c>
      <c r="C6" s="12" t="s">
        <v>1582</v>
      </c>
      <c r="D6" s="12" t="s">
        <v>1583</v>
      </c>
      <c r="E6" s="12" t="s">
        <v>1584</v>
      </c>
    </row>
    <row r="7" customFormat="false" ht="27.75" hidden="false" customHeight="true" outlineLevel="0" collapsed="false">
      <c r="A7" s="12" t="s">
        <v>1585</v>
      </c>
      <c r="B7" s="12" t="s">
        <v>1586</v>
      </c>
      <c r="C7" s="12" t="s">
        <v>1587</v>
      </c>
      <c r="D7" s="12" t="s">
        <v>1588</v>
      </c>
      <c r="E7" s="12" t="s">
        <v>1589</v>
      </c>
    </row>
    <row r="8" customFormat="false" ht="54.75" hidden="false" customHeight="true" outlineLevel="0" collapsed="false">
      <c r="A8" s="12" t="s">
        <v>1590</v>
      </c>
      <c r="B8" s="12" t="s">
        <v>1591</v>
      </c>
      <c r="C8" s="12" t="s">
        <v>1592</v>
      </c>
      <c r="D8" s="12" t="s">
        <v>1593</v>
      </c>
      <c r="E8" s="12" t="s">
        <v>1594</v>
      </c>
    </row>
    <row r="9" customFormat="false" ht="27.75" hidden="false" customHeight="true" outlineLevel="0" collapsed="false">
      <c r="A9" s="12" t="s">
        <v>1595</v>
      </c>
      <c r="B9" s="12" t="s">
        <v>1596</v>
      </c>
      <c r="C9" s="12" t="s">
        <v>1597</v>
      </c>
      <c r="D9" s="12" t="s">
        <v>1376</v>
      </c>
      <c r="E9" s="12" t="s">
        <v>1598</v>
      </c>
    </row>
    <row r="10" customFormat="false" ht="27.75" hidden="false" customHeight="true" outlineLevel="0" collapsed="false">
      <c r="A10" s="12" t="s">
        <v>1599</v>
      </c>
      <c r="B10" s="12" t="s">
        <v>1600</v>
      </c>
      <c r="C10" s="12" t="s">
        <v>1601</v>
      </c>
      <c r="D10" s="12" t="s">
        <v>1602</v>
      </c>
      <c r="E10" s="12" t="s">
        <v>1603</v>
      </c>
    </row>
    <row r="11" customFormat="false" ht="27.75" hidden="false" customHeight="true" outlineLevel="0" collapsed="false">
      <c r="A11" s="12" t="s">
        <v>1604</v>
      </c>
      <c r="B11" s="12" t="s">
        <v>1605</v>
      </c>
      <c r="C11" s="12" t="s">
        <v>1606</v>
      </c>
      <c r="D11" s="12" t="s">
        <v>1607</v>
      </c>
      <c r="E11" s="12" t="s">
        <v>1608</v>
      </c>
    </row>
    <row r="12" customFormat="false" ht="54.75" hidden="false" customHeight="true" outlineLevel="0" collapsed="false">
      <c r="A12" s="12" t="s">
        <v>1609</v>
      </c>
      <c r="B12" s="12" t="s">
        <v>1610</v>
      </c>
      <c r="C12" s="12" t="s">
        <v>1611</v>
      </c>
      <c r="D12" s="12" t="s">
        <v>169</v>
      </c>
      <c r="E12" s="12" t="s">
        <v>1612</v>
      </c>
    </row>
    <row r="13" customFormat="false" ht="15" hidden="false" customHeight="true" outlineLevel="0" collapsed="false">
      <c r="A13" s="12" t="s">
        <v>1613</v>
      </c>
      <c r="B13" s="12" t="s">
        <v>1614</v>
      </c>
      <c r="C13" s="12" t="s">
        <v>1615</v>
      </c>
      <c r="D13" s="12" t="s">
        <v>169</v>
      </c>
      <c r="E13" s="12" t="s">
        <v>1616</v>
      </c>
    </row>
    <row r="14" customFormat="false" ht="54.75" hidden="false" customHeight="true" outlineLevel="0" collapsed="false">
      <c r="A14" s="12" t="s">
        <v>1617</v>
      </c>
      <c r="B14" s="12" t="s">
        <v>1618</v>
      </c>
      <c r="C14" s="12" t="s">
        <v>1619</v>
      </c>
      <c r="D14" s="12" t="s">
        <v>1620</v>
      </c>
      <c r="E14" s="12" t="s">
        <v>1621</v>
      </c>
    </row>
    <row r="15" customFormat="false" ht="27.75" hidden="false" customHeight="true" outlineLevel="0" collapsed="false">
      <c r="A15" s="12" t="s">
        <v>1622</v>
      </c>
      <c r="B15" s="12" t="s">
        <v>1623</v>
      </c>
      <c r="C15" s="12" t="s">
        <v>1624</v>
      </c>
      <c r="D15" s="12" t="s">
        <v>1625</v>
      </c>
      <c r="E15" s="12" t="s">
        <v>1626</v>
      </c>
    </row>
    <row r="16" customFormat="false" ht="41.25" hidden="false" customHeight="true" outlineLevel="0" collapsed="false">
      <c r="A16" s="12" t="s">
        <v>1627</v>
      </c>
      <c r="B16" s="12" t="s">
        <v>1628</v>
      </c>
      <c r="C16" s="12" t="s">
        <v>1629</v>
      </c>
      <c r="D16" s="12" t="s">
        <v>1630</v>
      </c>
      <c r="E16" s="12" t="s">
        <v>1631</v>
      </c>
    </row>
    <row r="17" customFormat="false" ht="27.75" hidden="false" customHeight="true" outlineLevel="0" collapsed="false">
      <c r="A17" s="12" t="s">
        <v>1632</v>
      </c>
      <c r="B17" s="12" t="s">
        <v>1438</v>
      </c>
      <c r="C17" s="12" t="s">
        <v>1633</v>
      </c>
      <c r="D17" s="12" t="s">
        <v>1634</v>
      </c>
      <c r="E17" s="12" t="s">
        <v>1635</v>
      </c>
    </row>
    <row r="18" customFormat="false" ht="27.75" hidden="false" customHeight="true" outlineLevel="0" collapsed="false">
      <c r="A18" s="12" t="s">
        <v>1636</v>
      </c>
      <c r="B18" s="12" t="s">
        <v>1637</v>
      </c>
      <c r="C18" s="12" t="s">
        <v>1638</v>
      </c>
      <c r="D18" s="12" t="s">
        <v>1639</v>
      </c>
      <c r="E18" s="12" t="s">
        <v>1640</v>
      </c>
    </row>
    <row r="19" customFormat="false" ht="27.75" hidden="false" customHeight="true" outlineLevel="0" collapsed="false">
      <c r="A19" s="12" t="s">
        <v>1641</v>
      </c>
      <c r="B19" s="12" t="s">
        <v>1642</v>
      </c>
      <c r="C19" s="12" t="s">
        <v>1643</v>
      </c>
      <c r="D19" s="12" t="s">
        <v>1644</v>
      </c>
      <c r="E19" s="12" t="s">
        <v>1645</v>
      </c>
    </row>
    <row r="20" customFormat="false" ht="27.75" hidden="false" customHeight="true" outlineLevel="0" collapsed="false">
      <c r="A20" s="12" t="s">
        <v>1646</v>
      </c>
      <c r="B20" s="12" t="s">
        <v>1647</v>
      </c>
      <c r="C20" s="12" t="s">
        <v>1648</v>
      </c>
      <c r="D20" s="12" t="s">
        <v>1649</v>
      </c>
      <c r="E20" s="12" t="s">
        <v>1650</v>
      </c>
    </row>
  </sheetData>
  <autoFilter ref="A1:E20"/>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1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20"/>
    <col collapsed="false" customWidth="true" hidden="false" outlineLevel="0" max="3" min="2" style="1" width="38"/>
    <col collapsed="false" customWidth="true" hidden="false" outlineLevel="0" max="4" min="4" style="1" width="18"/>
    <col collapsed="false" customWidth="true" hidden="false" outlineLevel="0" max="5" min="5" style="1" width="60"/>
  </cols>
  <sheetData>
    <row r="1" customFormat="false" ht="27.75" hidden="false" customHeight="true" outlineLevel="0" collapsed="false">
      <c r="A1" s="11" t="s">
        <v>35</v>
      </c>
      <c r="B1" s="11" t="s">
        <v>1651</v>
      </c>
      <c r="C1" s="11" t="s">
        <v>1652</v>
      </c>
      <c r="D1" s="11" t="s">
        <v>13</v>
      </c>
      <c r="E1" s="11" t="s">
        <v>39</v>
      </c>
    </row>
    <row r="2" customFormat="false" ht="27.75" hidden="false" customHeight="true" outlineLevel="0" collapsed="false">
      <c r="A2" s="12" t="s">
        <v>1653</v>
      </c>
      <c r="B2" s="12" t="s">
        <v>1654</v>
      </c>
      <c r="C2" s="12" t="s">
        <v>1655</v>
      </c>
      <c r="D2" s="12" t="s">
        <v>15</v>
      </c>
      <c r="E2" s="12" t="s">
        <v>1656</v>
      </c>
    </row>
    <row r="3" customFormat="false" ht="27.75" hidden="false" customHeight="true" outlineLevel="0" collapsed="false">
      <c r="A3" s="12" t="s">
        <v>1657</v>
      </c>
      <c r="B3" s="12" t="s">
        <v>1658</v>
      </c>
      <c r="C3" s="12" t="s">
        <v>1659</v>
      </c>
      <c r="D3" s="12" t="s">
        <v>49</v>
      </c>
      <c r="E3" s="12" t="s">
        <v>1660</v>
      </c>
    </row>
    <row r="4" customFormat="false" ht="15" hidden="false" customHeight="true" outlineLevel="0" collapsed="false">
      <c r="A4" s="12" t="s">
        <v>1661</v>
      </c>
      <c r="B4" s="12" t="s">
        <v>1662</v>
      </c>
      <c r="C4" s="12" t="s">
        <v>1663</v>
      </c>
      <c r="D4" s="12" t="s">
        <v>15</v>
      </c>
      <c r="E4" s="12" t="s">
        <v>1664</v>
      </c>
    </row>
    <row r="5" customFormat="false" ht="15" hidden="false" customHeight="true" outlineLevel="0" collapsed="false">
      <c r="A5" s="12" t="s">
        <v>1665</v>
      </c>
      <c r="B5" s="12" t="s">
        <v>1666</v>
      </c>
      <c r="C5" s="12" t="s">
        <v>1667</v>
      </c>
      <c r="D5" s="12" t="s">
        <v>15</v>
      </c>
      <c r="E5" s="12" t="s">
        <v>1668</v>
      </c>
    </row>
    <row r="6" customFormat="false" ht="27.75" hidden="false" customHeight="true" outlineLevel="0" collapsed="false">
      <c r="A6" s="12" t="s">
        <v>1669</v>
      </c>
      <c r="B6" s="12" t="s">
        <v>1670</v>
      </c>
      <c r="C6" s="12" t="s">
        <v>1671</v>
      </c>
      <c r="D6" s="12" t="s">
        <v>16</v>
      </c>
      <c r="E6" s="12" t="s">
        <v>1672</v>
      </c>
    </row>
    <row r="7" customFormat="false" ht="27.75" hidden="false" customHeight="true" outlineLevel="0" collapsed="false">
      <c r="A7" s="12" t="s">
        <v>1673</v>
      </c>
      <c r="B7" s="12" t="s">
        <v>1674</v>
      </c>
      <c r="C7" s="12" t="s">
        <v>1675</v>
      </c>
      <c r="D7" s="12" t="s">
        <v>14</v>
      </c>
      <c r="E7" s="12" t="s">
        <v>1676</v>
      </c>
    </row>
    <row r="8" customFormat="false" ht="15" hidden="false" customHeight="true" outlineLevel="0" collapsed="false">
      <c r="A8" s="12" t="s">
        <v>1677</v>
      </c>
      <c r="B8" s="12" t="s">
        <v>1678</v>
      </c>
      <c r="C8" s="12" t="s">
        <v>1679</v>
      </c>
      <c r="D8" s="12" t="s">
        <v>14</v>
      </c>
      <c r="E8" s="12" t="s">
        <v>1680</v>
      </c>
    </row>
    <row r="9" customFormat="false" ht="15" hidden="false" customHeight="true" outlineLevel="0" collapsed="false">
      <c r="A9" s="12" t="s">
        <v>717</v>
      </c>
      <c r="B9" s="12" t="s">
        <v>1681</v>
      </c>
      <c r="C9" s="12" t="s">
        <v>1682</v>
      </c>
      <c r="D9" s="12" t="s">
        <v>14</v>
      </c>
      <c r="E9" s="12" t="s">
        <v>1683</v>
      </c>
    </row>
    <row r="10" customFormat="false" ht="15" hidden="false" customHeight="true" outlineLevel="0" collapsed="false">
      <c r="A10" s="12" t="s">
        <v>1684</v>
      </c>
      <c r="B10" s="12" t="s">
        <v>1685</v>
      </c>
      <c r="C10" s="12" t="s">
        <v>1686</v>
      </c>
      <c r="D10" s="12" t="s">
        <v>49</v>
      </c>
      <c r="E10" s="12"/>
    </row>
    <row r="11" customFormat="false" ht="27.75" hidden="false" customHeight="true" outlineLevel="0" collapsed="false">
      <c r="A11" s="12" t="s">
        <v>1687</v>
      </c>
      <c r="B11" s="12" t="s">
        <v>1688</v>
      </c>
      <c r="C11" s="12" t="s">
        <v>1689</v>
      </c>
      <c r="D11" s="12" t="s">
        <v>15</v>
      </c>
      <c r="E11" s="12" t="s">
        <v>1690</v>
      </c>
    </row>
    <row r="12" customFormat="false" ht="15" hidden="false" customHeight="true" outlineLevel="0" collapsed="false">
      <c r="A12" s="12" t="s">
        <v>1691</v>
      </c>
      <c r="B12" s="12" t="s">
        <v>1666</v>
      </c>
      <c r="C12" s="12" t="s">
        <v>1692</v>
      </c>
      <c r="D12" s="12" t="s">
        <v>15</v>
      </c>
      <c r="E12" s="12" t="s">
        <v>1668</v>
      </c>
    </row>
    <row r="13" customFormat="false" ht="27.75" hidden="false" customHeight="true" outlineLevel="0" collapsed="false">
      <c r="A13" s="12" t="s">
        <v>1693</v>
      </c>
      <c r="B13" s="12" t="s">
        <v>1694</v>
      </c>
      <c r="C13" s="12" t="s">
        <v>1695</v>
      </c>
      <c r="D13" s="12" t="s">
        <v>15</v>
      </c>
      <c r="E13" s="12" t="s">
        <v>1696</v>
      </c>
    </row>
    <row r="14" customFormat="false" ht="15" hidden="false" customHeight="true" outlineLevel="0" collapsed="false">
      <c r="A14" s="12" t="s">
        <v>1697</v>
      </c>
      <c r="B14" s="12" t="s">
        <v>1666</v>
      </c>
      <c r="C14" s="12" t="s">
        <v>1698</v>
      </c>
      <c r="D14" s="12" t="s">
        <v>15</v>
      </c>
      <c r="E14" s="12" t="s">
        <v>1699</v>
      </c>
    </row>
    <row r="15" customFormat="false" ht="27.75" hidden="false" customHeight="true" outlineLevel="0" collapsed="false">
      <c r="A15" s="12" t="s">
        <v>1700</v>
      </c>
      <c r="B15" s="12" t="s">
        <v>1701</v>
      </c>
      <c r="C15" s="12" t="s">
        <v>169</v>
      </c>
      <c r="D15" s="12" t="s">
        <v>15</v>
      </c>
      <c r="E15" s="12" t="s">
        <v>1702</v>
      </c>
    </row>
    <row r="16" customFormat="false" ht="15" hidden="false" customHeight="true" outlineLevel="0" collapsed="false">
      <c r="A16" s="12" t="s">
        <v>1703</v>
      </c>
      <c r="B16" s="12" t="s">
        <v>1704</v>
      </c>
      <c r="C16" s="12" t="s">
        <v>1705</v>
      </c>
      <c r="D16" s="12" t="s">
        <v>15</v>
      </c>
      <c r="E16" s="12" t="s">
        <v>1706</v>
      </c>
    </row>
    <row r="17" customFormat="false" ht="15" hidden="false" customHeight="true" outlineLevel="0" collapsed="false">
      <c r="A17" s="12" t="s">
        <v>1707</v>
      </c>
      <c r="B17" s="12" t="s">
        <v>1708</v>
      </c>
      <c r="C17" s="12" t="s">
        <v>1686</v>
      </c>
      <c r="D17" s="12" t="s">
        <v>49</v>
      </c>
      <c r="E17" s="12"/>
    </row>
    <row r="18" customFormat="false" ht="15" hidden="false" customHeight="true" outlineLevel="0" collapsed="false">
      <c r="A18" s="12" t="s">
        <v>1709</v>
      </c>
      <c r="B18" s="12" t="s">
        <v>1710</v>
      </c>
      <c r="C18" s="12" t="s">
        <v>1686</v>
      </c>
      <c r="D18" s="12" t="s">
        <v>49</v>
      </c>
      <c r="E18" s="12"/>
    </row>
  </sheetData>
  <autoFilter ref="A1:E18"/>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2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40"/>
    <col collapsed="false" customWidth="true" hidden="false" outlineLevel="0" max="2" min="2" style="1" width="100"/>
  </cols>
  <sheetData>
    <row r="1" customFormat="false" ht="15" hidden="false" customHeight="true" outlineLevel="0" collapsed="false">
      <c r="A1" s="11" t="s">
        <v>1711</v>
      </c>
      <c r="B1" s="11" t="s">
        <v>1712</v>
      </c>
    </row>
    <row r="2" customFormat="false" ht="15" hidden="false" customHeight="true" outlineLevel="0" collapsed="false">
      <c r="A2" s="12" t="s">
        <v>311</v>
      </c>
      <c r="B2" s="12" t="s">
        <v>312</v>
      </c>
    </row>
    <row r="3" customFormat="false" ht="15" hidden="false" customHeight="true" outlineLevel="0" collapsed="false">
      <c r="A3" s="12" t="s">
        <v>315</v>
      </c>
      <c r="B3" s="12" t="s">
        <v>316</v>
      </c>
    </row>
    <row r="4" customFormat="false" ht="27.75" hidden="false" customHeight="true" outlineLevel="0" collapsed="false">
      <c r="A4" s="12" t="s">
        <v>317</v>
      </c>
      <c r="B4" s="12" t="s">
        <v>318</v>
      </c>
    </row>
    <row r="5" customFormat="false" ht="15" hidden="false" customHeight="true" outlineLevel="0" collapsed="false">
      <c r="A5" s="12" t="s">
        <v>319</v>
      </c>
      <c r="B5" s="12" t="s">
        <v>320</v>
      </c>
    </row>
    <row r="6" customFormat="false" ht="27.75" hidden="false" customHeight="true" outlineLevel="0" collapsed="false">
      <c r="A6" s="12" t="s">
        <v>321</v>
      </c>
      <c r="B6" s="12" t="s">
        <v>322</v>
      </c>
    </row>
    <row r="7" customFormat="false" ht="15" hidden="false" customHeight="true" outlineLevel="0" collapsed="false">
      <c r="A7" s="12" t="s">
        <v>323</v>
      </c>
      <c r="B7" s="12" t="s">
        <v>324</v>
      </c>
    </row>
    <row r="8" customFormat="false" ht="27.75" hidden="false" customHeight="true" outlineLevel="0" collapsed="false">
      <c r="A8" s="12" t="s">
        <v>325</v>
      </c>
      <c r="B8" s="12" t="s">
        <v>326</v>
      </c>
    </row>
    <row r="9" customFormat="false" ht="27.75" hidden="false" customHeight="true" outlineLevel="0" collapsed="false">
      <c r="A9" s="12" t="s">
        <v>327</v>
      </c>
      <c r="B9" s="12" t="s">
        <v>328</v>
      </c>
    </row>
    <row r="10" customFormat="false" ht="15" hidden="false" customHeight="true" outlineLevel="0" collapsed="false">
      <c r="A10" s="12" t="s">
        <v>329</v>
      </c>
      <c r="B10" s="12" t="s">
        <v>330</v>
      </c>
    </row>
    <row r="11" customFormat="false" ht="15" hidden="false" customHeight="true" outlineLevel="0" collapsed="false">
      <c r="A11" s="12" t="s">
        <v>331</v>
      </c>
      <c r="B11" s="12" t="s">
        <v>332</v>
      </c>
    </row>
    <row r="12" customFormat="false" ht="27.75" hidden="false" customHeight="true" outlineLevel="0" collapsed="false">
      <c r="A12" s="12" t="s">
        <v>333</v>
      </c>
      <c r="B12" s="12" t="s">
        <v>334</v>
      </c>
    </row>
    <row r="13" customFormat="false" ht="15" hidden="false" customHeight="true" outlineLevel="0" collapsed="false">
      <c r="A13" s="12" t="s">
        <v>335</v>
      </c>
      <c r="B13" s="12" t="s">
        <v>336</v>
      </c>
    </row>
    <row r="14" customFormat="false" ht="27.75" hidden="false" customHeight="true" outlineLevel="0" collapsed="false">
      <c r="A14" s="12" t="s">
        <v>337</v>
      </c>
      <c r="B14" s="12" t="s">
        <v>338</v>
      </c>
    </row>
    <row r="15" customFormat="false" ht="27.75" hidden="false" customHeight="true" outlineLevel="0" collapsed="false">
      <c r="A15" s="12" t="s">
        <v>339</v>
      </c>
      <c r="B15" s="12" t="s">
        <v>340</v>
      </c>
    </row>
    <row r="16" customFormat="false" ht="27.75" hidden="false" customHeight="true" outlineLevel="0" collapsed="false">
      <c r="A16" s="12" t="s">
        <v>341</v>
      </c>
      <c r="B16" s="12" t="s">
        <v>342</v>
      </c>
    </row>
    <row r="17" customFormat="false" ht="27.75" hidden="false" customHeight="true" outlineLevel="0" collapsed="false">
      <c r="A17" s="12" t="s">
        <v>343</v>
      </c>
      <c r="B17" s="12" t="s">
        <v>344</v>
      </c>
    </row>
    <row r="18" customFormat="false" ht="41.25" hidden="false" customHeight="true" outlineLevel="0" collapsed="false">
      <c r="A18" s="12" t="s">
        <v>345</v>
      </c>
      <c r="B18" s="12" t="s">
        <v>346</v>
      </c>
    </row>
    <row r="19" customFormat="false" ht="15" hidden="false" customHeight="true" outlineLevel="0" collapsed="false">
      <c r="A19" s="12" t="s">
        <v>512</v>
      </c>
      <c r="B19" s="12" t="s">
        <v>513</v>
      </c>
    </row>
    <row r="20" customFormat="false" ht="27.75" hidden="false" customHeight="true" outlineLevel="0" collapsed="false">
      <c r="A20" s="12" t="s">
        <v>514</v>
      </c>
      <c r="B20" s="12" t="s">
        <v>515</v>
      </c>
    </row>
    <row r="21" customFormat="false" ht="27.75" hidden="false" customHeight="true" outlineLevel="0" collapsed="false">
      <c r="A21" s="12" t="s">
        <v>516</v>
      </c>
      <c r="B21" s="12" t="s">
        <v>517</v>
      </c>
    </row>
    <row r="22" customFormat="false" ht="27.75" hidden="false" customHeight="true" outlineLevel="0" collapsed="false">
      <c r="A22" s="12" t="s">
        <v>519</v>
      </c>
      <c r="B22" s="12" t="s">
        <v>520</v>
      </c>
    </row>
    <row r="23" customFormat="false" ht="27.75" hidden="false" customHeight="true" outlineLevel="0" collapsed="false">
      <c r="A23" s="12" t="s">
        <v>521</v>
      </c>
      <c r="B23" s="12" t="s">
        <v>522</v>
      </c>
    </row>
  </sheetData>
  <autoFilter ref="A1:B23"/>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1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2" min="1" style="1" width="30"/>
    <col collapsed="false" customWidth="true" hidden="false" outlineLevel="0" max="3" min="3" style="1" width="50"/>
    <col collapsed="false" customWidth="true" hidden="false" outlineLevel="0" max="4" min="4" style="1" width="56"/>
    <col collapsed="false" customWidth="true" hidden="false" outlineLevel="0" max="5" min="5" style="1" width="34"/>
  </cols>
  <sheetData>
    <row r="1" customFormat="false" ht="15" hidden="false" customHeight="true" outlineLevel="0" collapsed="false">
      <c r="A1" s="11" t="s">
        <v>1712</v>
      </c>
      <c r="B1" s="11" t="s">
        <v>1713</v>
      </c>
      <c r="C1" s="11" t="s">
        <v>1714</v>
      </c>
      <c r="D1" s="11" t="s">
        <v>1715</v>
      </c>
      <c r="E1" s="11" t="s">
        <v>13</v>
      </c>
    </row>
    <row r="2" customFormat="false" ht="27.75" hidden="false" customHeight="true" outlineLevel="0" collapsed="false">
      <c r="A2" s="12" t="s">
        <v>1716</v>
      </c>
      <c r="B2" s="12" t="s">
        <v>315</v>
      </c>
      <c r="C2" s="12" t="s">
        <v>1717</v>
      </c>
      <c r="D2" s="12" t="s">
        <v>1718</v>
      </c>
      <c r="E2" s="12" t="s">
        <v>1719</v>
      </c>
    </row>
    <row r="3" customFormat="false" ht="27.75" hidden="false" customHeight="true" outlineLevel="0" collapsed="false">
      <c r="A3" s="12" t="s">
        <v>1720</v>
      </c>
      <c r="B3" s="12" t="s">
        <v>317</v>
      </c>
      <c r="C3" s="12" t="s">
        <v>1721</v>
      </c>
      <c r="D3" s="12" t="s">
        <v>1722</v>
      </c>
      <c r="E3" s="12" t="s">
        <v>1719</v>
      </c>
    </row>
    <row r="4" customFormat="false" ht="27.75" hidden="false" customHeight="true" outlineLevel="0" collapsed="false">
      <c r="A4" s="12" t="s">
        <v>1723</v>
      </c>
      <c r="B4" s="12" t="s">
        <v>323</v>
      </c>
      <c r="C4" s="12" t="s">
        <v>1724</v>
      </c>
      <c r="D4" s="12" t="s">
        <v>1725</v>
      </c>
      <c r="E4" s="12" t="s">
        <v>1726</v>
      </c>
    </row>
    <row r="5" customFormat="false" ht="41.25" hidden="false" customHeight="true" outlineLevel="0" collapsed="false">
      <c r="A5" s="12" t="s">
        <v>1727</v>
      </c>
      <c r="B5" s="12" t="s">
        <v>1728</v>
      </c>
      <c r="C5" s="12" t="s">
        <v>1729</v>
      </c>
      <c r="D5" s="12" t="s">
        <v>1730</v>
      </c>
      <c r="E5" s="12" t="s">
        <v>1731</v>
      </c>
    </row>
    <row r="6" customFormat="false" ht="27.75" hidden="false" customHeight="true" outlineLevel="0" collapsed="false">
      <c r="A6" s="12" t="s">
        <v>1732</v>
      </c>
      <c r="B6" s="12" t="s">
        <v>1733</v>
      </c>
      <c r="C6" s="12" t="s">
        <v>1734</v>
      </c>
      <c r="D6" s="12" t="s">
        <v>1735</v>
      </c>
      <c r="E6" s="12" t="s">
        <v>1726</v>
      </c>
    </row>
    <row r="7" customFormat="false" ht="27.75" hidden="false" customHeight="true" outlineLevel="0" collapsed="false">
      <c r="A7" s="12" t="s">
        <v>1736</v>
      </c>
      <c r="B7" s="12" t="s">
        <v>1737</v>
      </c>
      <c r="C7" s="12" t="s">
        <v>1738</v>
      </c>
      <c r="D7" s="12" t="s">
        <v>1739</v>
      </c>
      <c r="E7" s="12" t="s">
        <v>1726</v>
      </c>
    </row>
    <row r="8" customFormat="false" ht="27.75" hidden="false" customHeight="true" outlineLevel="0" collapsed="false">
      <c r="A8" s="12" t="s">
        <v>1740</v>
      </c>
      <c r="B8" s="12" t="s">
        <v>430</v>
      </c>
      <c r="C8" s="12" t="s">
        <v>1741</v>
      </c>
      <c r="D8" s="12" t="s">
        <v>1742</v>
      </c>
      <c r="E8" s="12" t="s">
        <v>1719</v>
      </c>
    </row>
    <row r="9" customFormat="false" ht="27.75" hidden="false" customHeight="true" outlineLevel="0" collapsed="false">
      <c r="A9" s="12" t="s">
        <v>1743</v>
      </c>
      <c r="B9" s="12" t="s">
        <v>424</v>
      </c>
      <c r="C9" s="12" t="s">
        <v>1744</v>
      </c>
      <c r="D9" s="12" t="s">
        <v>1745</v>
      </c>
      <c r="E9" s="12" t="s">
        <v>1746</v>
      </c>
    </row>
    <row r="10" customFormat="false" ht="15" hidden="false" customHeight="true" outlineLevel="0" collapsed="false">
      <c r="A10" s="12" t="s">
        <v>1747</v>
      </c>
      <c r="B10" s="12" t="s">
        <v>427</v>
      </c>
      <c r="C10" s="12" t="s">
        <v>1748</v>
      </c>
      <c r="D10" s="12" t="s">
        <v>1749</v>
      </c>
      <c r="E10" s="12" t="s">
        <v>1719</v>
      </c>
    </row>
    <row r="11" customFormat="false" ht="27.75" hidden="false" customHeight="true" outlineLevel="0" collapsed="false">
      <c r="A11" s="12" t="s">
        <v>1750</v>
      </c>
      <c r="B11" s="12" t="s">
        <v>1751</v>
      </c>
      <c r="C11" s="12" t="s">
        <v>1752</v>
      </c>
      <c r="D11" s="12" t="s">
        <v>1753</v>
      </c>
      <c r="E11" s="12" t="s">
        <v>1754</v>
      </c>
    </row>
    <row r="12" customFormat="false" ht="15" hidden="false" customHeight="true" outlineLevel="0" collapsed="false">
      <c r="A12" s="12" t="s">
        <v>1755</v>
      </c>
      <c r="B12" s="12" t="s">
        <v>1756</v>
      </c>
      <c r="C12" s="12" t="s">
        <v>1757</v>
      </c>
      <c r="D12" s="12" t="s">
        <v>1758</v>
      </c>
      <c r="E12" s="12" t="s">
        <v>1759</v>
      </c>
    </row>
    <row r="13" customFormat="false" ht="15" hidden="false" customHeight="true" outlineLevel="0" collapsed="false">
      <c r="A13" s="12" t="s">
        <v>1760</v>
      </c>
      <c r="B13" s="12" t="s">
        <v>1761</v>
      </c>
      <c r="C13" s="12" t="s">
        <v>1762</v>
      </c>
      <c r="D13" s="12" t="s">
        <v>1763</v>
      </c>
      <c r="E13" s="12" t="s">
        <v>1759</v>
      </c>
    </row>
    <row r="14" customFormat="false" ht="15" hidden="false" customHeight="true" outlineLevel="0" collapsed="false">
      <c r="A14" s="12" t="s">
        <v>1764</v>
      </c>
      <c r="B14" s="12" t="s">
        <v>1765</v>
      </c>
      <c r="C14" s="12" t="s">
        <v>1766</v>
      </c>
      <c r="D14" s="12" t="s">
        <v>1767</v>
      </c>
      <c r="E14" s="12" t="s">
        <v>1759</v>
      </c>
    </row>
    <row r="15" customFormat="false" ht="27.75" hidden="false" customHeight="true" outlineLevel="0" collapsed="false">
      <c r="A15" s="12" t="s">
        <v>1768</v>
      </c>
      <c r="B15" s="12" t="s">
        <v>1769</v>
      </c>
      <c r="C15" s="12" t="s">
        <v>1770</v>
      </c>
      <c r="D15" s="12" t="s">
        <v>1771</v>
      </c>
      <c r="E15" s="12" t="s">
        <v>1772</v>
      </c>
    </row>
  </sheetData>
  <autoFilter ref="A1:E15"/>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1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26"/>
    <col collapsed="false" customWidth="true" hidden="false" outlineLevel="0" max="2" min="2" style="1" width="60"/>
    <col collapsed="false" customWidth="true" hidden="false" outlineLevel="0" max="3" min="3" style="1" width="34"/>
    <col collapsed="false" customWidth="true" hidden="false" outlineLevel="0" max="4" min="4" style="1" width="44"/>
    <col collapsed="false" customWidth="true" hidden="false" outlineLevel="0" max="5" min="5" style="1" width="30"/>
  </cols>
  <sheetData>
    <row r="1" customFormat="false" ht="15" hidden="false" customHeight="true" outlineLevel="0" collapsed="false">
      <c r="A1" s="11" t="s">
        <v>1773</v>
      </c>
      <c r="B1" s="11" t="s">
        <v>1774</v>
      </c>
      <c r="C1" s="11" t="s">
        <v>1775</v>
      </c>
      <c r="D1" s="11" t="s">
        <v>1776</v>
      </c>
      <c r="E1" s="11" t="s">
        <v>1777</v>
      </c>
    </row>
    <row r="2" customFormat="false" ht="15" hidden="false" customHeight="true" outlineLevel="0" collapsed="false">
      <c r="A2" s="12" t="s">
        <v>1778</v>
      </c>
      <c r="B2" s="12" t="s">
        <v>1779</v>
      </c>
      <c r="C2" s="12" t="s">
        <v>169</v>
      </c>
      <c r="D2" s="12" t="s">
        <v>169</v>
      </c>
      <c r="E2" s="12" t="s">
        <v>1780</v>
      </c>
    </row>
    <row r="3" customFormat="false" ht="27.75" hidden="false" customHeight="true" outlineLevel="0" collapsed="false">
      <c r="A3" s="12" t="s">
        <v>1778</v>
      </c>
      <c r="B3" s="12" t="s">
        <v>1781</v>
      </c>
      <c r="C3" s="12" t="s">
        <v>1782</v>
      </c>
      <c r="D3" s="12" t="s">
        <v>1783</v>
      </c>
      <c r="E3" s="12" t="s">
        <v>1784</v>
      </c>
    </row>
    <row r="4" customFormat="false" ht="15" hidden="false" customHeight="true" outlineLevel="0" collapsed="false">
      <c r="A4" s="12" t="s">
        <v>1778</v>
      </c>
      <c r="B4" s="12" t="s">
        <v>1785</v>
      </c>
      <c r="C4" s="12" t="s">
        <v>169</v>
      </c>
      <c r="D4" s="12" t="s">
        <v>1786</v>
      </c>
      <c r="E4" s="12" t="s">
        <v>1787</v>
      </c>
    </row>
    <row r="5" customFormat="false" ht="15" hidden="false" customHeight="true" outlineLevel="0" collapsed="false">
      <c r="A5" s="12" t="s">
        <v>1778</v>
      </c>
      <c r="B5" s="12" t="s">
        <v>1788</v>
      </c>
      <c r="C5" s="12" t="s">
        <v>1789</v>
      </c>
      <c r="D5" s="12" t="s">
        <v>1790</v>
      </c>
      <c r="E5" s="12"/>
    </row>
    <row r="6" customFormat="false" ht="15" hidden="false" customHeight="true" outlineLevel="0" collapsed="false">
      <c r="A6" s="12" t="s">
        <v>1778</v>
      </c>
      <c r="B6" s="12" t="s">
        <v>1791</v>
      </c>
      <c r="C6" s="12" t="s">
        <v>1792</v>
      </c>
      <c r="D6" s="12" t="s">
        <v>1793</v>
      </c>
      <c r="E6" s="12"/>
    </row>
    <row r="7" customFormat="false" ht="27.75" hidden="false" customHeight="true" outlineLevel="0" collapsed="false">
      <c r="A7" s="12" t="s">
        <v>1778</v>
      </c>
      <c r="B7" s="12" t="s">
        <v>1794</v>
      </c>
      <c r="C7" s="12" t="s">
        <v>1795</v>
      </c>
      <c r="D7" s="12" t="s">
        <v>1796</v>
      </c>
      <c r="E7" s="12" t="s">
        <v>1797</v>
      </c>
    </row>
    <row r="8" customFormat="false" ht="15" hidden="false" customHeight="true" outlineLevel="0" collapsed="false">
      <c r="A8" s="12" t="s">
        <v>1778</v>
      </c>
      <c r="B8" s="12" t="s">
        <v>1798</v>
      </c>
      <c r="C8" s="12" t="s">
        <v>1799</v>
      </c>
      <c r="D8" s="12" t="s">
        <v>1800</v>
      </c>
      <c r="E8" s="12"/>
    </row>
    <row r="9" customFormat="false" ht="27.75" hidden="false" customHeight="true" outlineLevel="0" collapsed="false">
      <c r="A9" s="12" t="s">
        <v>1801</v>
      </c>
      <c r="B9" s="12" t="s">
        <v>1802</v>
      </c>
      <c r="C9" s="12" t="s">
        <v>1799</v>
      </c>
      <c r="D9" s="12" t="s">
        <v>1803</v>
      </c>
      <c r="E9" s="12" t="s">
        <v>1804</v>
      </c>
    </row>
    <row r="10" customFormat="false" ht="41.25" hidden="false" customHeight="true" outlineLevel="0" collapsed="false">
      <c r="A10" s="12" t="s">
        <v>1805</v>
      </c>
      <c r="B10" s="12" t="s">
        <v>1806</v>
      </c>
      <c r="C10" s="12" t="s">
        <v>1807</v>
      </c>
      <c r="D10" s="12" t="s">
        <v>1808</v>
      </c>
      <c r="E10" s="12" t="s">
        <v>1809</v>
      </c>
    </row>
    <row r="11" customFormat="false" ht="27.75" hidden="false" customHeight="true" outlineLevel="0" collapsed="false">
      <c r="A11" s="12" t="s">
        <v>1810</v>
      </c>
      <c r="B11" s="12" t="s">
        <v>1811</v>
      </c>
      <c r="C11" s="12" t="s">
        <v>169</v>
      </c>
      <c r="D11" s="12" t="s">
        <v>1812</v>
      </c>
      <c r="E11" s="12" t="s">
        <v>1813</v>
      </c>
    </row>
    <row r="12" customFormat="false" ht="41.25" hidden="false" customHeight="true" outlineLevel="0" collapsed="false">
      <c r="A12" s="12" t="s">
        <v>1814</v>
      </c>
      <c r="B12" s="12" t="s">
        <v>1815</v>
      </c>
      <c r="C12" s="12" t="s">
        <v>1816</v>
      </c>
      <c r="D12" s="12" t="s">
        <v>1817</v>
      </c>
      <c r="E12" s="12" t="s">
        <v>1818</v>
      </c>
    </row>
    <row r="13" customFormat="false" ht="41.25" hidden="false" customHeight="true" outlineLevel="0" collapsed="false">
      <c r="A13" s="12" t="s">
        <v>1819</v>
      </c>
      <c r="B13" s="12" t="s">
        <v>1820</v>
      </c>
      <c r="C13" s="12" t="s">
        <v>169</v>
      </c>
      <c r="D13" s="12" t="s">
        <v>1821</v>
      </c>
      <c r="E13" s="12" t="s">
        <v>1822</v>
      </c>
    </row>
  </sheetData>
  <autoFilter ref="A1:E13"/>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3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10"/>
    <col collapsed="false" customWidth="true" hidden="false" outlineLevel="0" max="2" min="2" style="1" width="70"/>
    <col collapsed="false" customWidth="true" hidden="false" outlineLevel="0" max="3" min="3" style="1" width="50"/>
    <col collapsed="false" customWidth="true" hidden="false" outlineLevel="0" max="4" min="4" style="1" width="26"/>
  </cols>
  <sheetData>
    <row r="1" customFormat="false" ht="27.75" hidden="false" customHeight="true" outlineLevel="0" collapsed="false">
      <c r="A1" s="11" t="s">
        <v>1823</v>
      </c>
      <c r="B1" s="11" t="s">
        <v>1824</v>
      </c>
      <c r="C1" s="11" t="s">
        <v>1825</v>
      </c>
      <c r="D1" s="11" t="s">
        <v>3</v>
      </c>
    </row>
    <row r="2" customFormat="false" ht="15" hidden="false" customHeight="true" outlineLevel="0" collapsed="false">
      <c r="A2" s="12" t="s">
        <v>1826</v>
      </c>
      <c r="B2" s="12" t="s">
        <v>1827</v>
      </c>
      <c r="C2" s="12" t="s">
        <v>1828</v>
      </c>
      <c r="D2" s="12" t="s">
        <v>1829</v>
      </c>
    </row>
    <row r="3" customFormat="false" ht="27.75" hidden="false" customHeight="true" outlineLevel="0" collapsed="false">
      <c r="A3" s="12" t="s">
        <v>1830</v>
      </c>
      <c r="B3" s="12" t="s">
        <v>1831</v>
      </c>
      <c r="C3" s="12" t="s">
        <v>1832</v>
      </c>
      <c r="D3" s="12" t="s">
        <v>1833</v>
      </c>
    </row>
    <row r="4" customFormat="false" ht="15" hidden="false" customHeight="true" outlineLevel="0" collapsed="false">
      <c r="A4" s="12" t="s">
        <v>1826</v>
      </c>
      <c r="B4" s="12" t="s">
        <v>1834</v>
      </c>
      <c r="C4" s="12" t="s">
        <v>1835</v>
      </c>
      <c r="D4" s="12" t="s">
        <v>1829</v>
      </c>
    </row>
    <row r="5" customFormat="false" ht="15" hidden="false" customHeight="true" outlineLevel="0" collapsed="false">
      <c r="A5" s="12" t="s">
        <v>1826</v>
      </c>
      <c r="B5" s="12" t="s">
        <v>1836</v>
      </c>
      <c r="C5" s="12" t="s">
        <v>1837</v>
      </c>
      <c r="D5" s="12" t="s">
        <v>1838</v>
      </c>
    </row>
    <row r="6" customFormat="false" ht="15" hidden="false" customHeight="true" outlineLevel="0" collapsed="false">
      <c r="A6" s="12" t="s">
        <v>1826</v>
      </c>
      <c r="B6" s="12" t="s">
        <v>1839</v>
      </c>
      <c r="C6" s="12" t="s">
        <v>1840</v>
      </c>
      <c r="D6" s="12" t="s">
        <v>1829</v>
      </c>
    </row>
    <row r="7" customFormat="false" ht="15" hidden="false" customHeight="true" outlineLevel="0" collapsed="false">
      <c r="A7" s="12" t="s">
        <v>1826</v>
      </c>
      <c r="B7" s="12" t="s">
        <v>1841</v>
      </c>
      <c r="C7" s="12" t="s">
        <v>1842</v>
      </c>
      <c r="D7" s="12" t="s">
        <v>1829</v>
      </c>
    </row>
    <row r="8" customFormat="false" ht="15" hidden="false" customHeight="true" outlineLevel="0" collapsed="false">
      <c r="A8" s="12" t="s">
        <v>1826</v>
      </c>
      <c r="B8" s="12" t="s">
        <v>1843</v>
      </c>
      <c r="C8" s="12" t="s">
        <v>1844</v>
      </c>
      <c r="D8" s="12" t="s">
        <v>1845</v>
      </c>
    </row>
    <row r="9" customFormat="false" ht="15" hidden="false" customHeight="true" outlineLevel="0" collapsed="false">
      <c r="A9" s="12" t="s">
        <v>1826</v>
      </c>
      <c r="B9" s="12" t="s">
        <v>1846</v>
      </c>
      <c r="C9" s="12" t="s">
        <v>1847</v>
      </c>
      <c r="D9" s="12" t="s">
        <v>1845</v>
      </c>
    </row>
    <row r="10" customFormat="false" ht="15" hidden="false" customHeight="true" outlineLevel="0" collapsed="false">
      <c r="A10" s="12" t="s">
        <v>1826</v>
      </c>
      <c r="B10" s="12" t="s">
        <v>1848</v>
      </c>
      <c r="C10" s="12" t="s">
        <v>1849</v>
      </c>
      <c r="D10" s="12" t="s">
        <v>1850</v>
      </c>
    </row>
    <row r="11" customFormat="false" ht="15" hidden="false" customHeight="true" outlineLevel="0" collapsed="false">
      <c r="A11" s="12" t="s">
        <v>1826</v>
      </c>
      <c r="B11" s="12" t="s">
        <v>1851</v>
      </c>
      <c r="C11" s="12" t="s">
        <v>1852</v>
      </c>
      <c r="D11" s="12" t="s">
        <v>1853</v>
      </c>
    </row>
    <row r="12" customFormat="false" ht="15" hidden="false" customHeight="true" outlineLevel="0" collapsed="false">
      <c r="A12" s="12" t="s">
        <v>1854</v>
      </c>
      <c r="B12" s="12" t="s">
        <v>1855</v>
      </c>
      <c r="C12" s="12" t="s">
        <v>1856</v>
      </c>
      <c r="D12" s="12" t="s">
        <v>1829</v>
      </c>
    </row>
    <row r="13" customFormat="false" ht="15" hidden="false" customHeight="true" outlineLevel="0" collapsed="false">
      <c r="A13" s="12" t="s">
        <v>1854</v>
      </c>
      <c r="B13" s="12" t="s">
        <v>1857</v>
      </c>
      <c r="C13" s="12" t="s">
        <v>1858</v>
      </c>
      <c r="D13" s="12" t="s">
        <v>1829</v>
      </c>
    </row>
    <row r="14" customFormat="false" ht="15" hidden="false" customHeight="true" outlineLevel="0" collapsed="false">
      <c r="A14" s="12" t="s">
        <v>1854</v>
      </c>
      <c r="B14" s="12" t="s">
        <v>1859</v>
      </c>
      <c r="C14" s="12" t="s">
        <v>1860</v>
      </c>
      <c r="D14" s="12" t="s">
        <v>1829</v>
      </c>
    </row>
    <row r="15" customFormat="false" ht="15" hidden="false" customHeight="true" outlineLevel="0" collapsed="false">
      <c r="A15" s="12" t="s">
        <v>1854</v>
      </c>
      <c r="B15" s="12" t="s">
        <v>1861</v>
      </c>
      <c r="C15" s="12" t="s">
        <v>1862</v>
      </c>
      <c r="D15" s="12" t="s">
        <v>1845</v>
      </c>
    </row>
    <row r="16" customFormat="false" ht="15" hidden="false" customHeight="true" outlineLevel="0" collapsed="false">
      <c r="A16" s="12" t="s">
        <v>1854</v>
      </c>
      <c r="B16" s="12" t="s">
        <v>1863</v>
      </c>
      <c r="C16" s="12" t="s">
        <v>1864</v>
      </c>
      <c r="D16" s="12" t="s">
        <v>1829</v>
      </c>
    </row>
    <row r="17" customFormat="false" ht="15" hidden="false" customHeight="true" outlineLevel="0" collapsed="false">
      <c r="A17" s="12" t="s">
        <v>1854</v>
      </c>
      <c r="B17" s="12" t="s">
        <v>1865</v>
      </c>
      <c r="C17" s="12" t="s">
        <v>1866</v>
      </c>
      <c r="D17" s="12" t="s">
        <v>1829</v>
      </c>
    </row>
    <row r="18" customFormat="false" ht="15" hidden="false" customHeight="true" outlineLevel="0" collapsed="false">
      <c r="A18" s="12" t="s">
        <v>1854</v>
      </c>
      <c r="B18" s="12" t="s">
        <v>1867</v>
      </c>
      <c r="C18" s="12" t="s">
        <v>1868</v>
      </c>
      <c r="D18" s="12" t="s">
        <v>1869</v>
      </c>
    </row>
    <row r="19" customFormat="false" ht="27.75" hidden="false" customHeight="true" outlineLevel="0" collapsed="false">
      <c r="A19" s="12" t="s">
        <v>1854</v>
      </c>
      <c r="B19" s="12" t="s">
        <v>1870</v>
      </c>
      <c r="C19" s="12" t="s">
        <v>1871</v>
      </c>
      <c r="D19" s="12" t="s">
        <v>1872</v>
      </c>
    </row>
    <row r="20" customFormat="false" ht="15" hidden="false" customHeight="true" outlineLevel="0" collapsed="false">
      <c r="A20" s="12" t="s">
        <v>1854</v>
      </c>
      <c r="B20" s="12" t="s">
        <v>1873</v>
      </c>
      <c r="C20" s="12" t="s">
        <v>1874</v>
      </c>
      <c r="D20" s="12" t="s">
        <v>1829</v>
      </c>
    </row>
    <row r="21" customFormat="false" ht="15" hidden="false" customHeight="true" outlineLevel="0" collapsed="false">
      <c r="A21" s="12" t="s">
        <v>1854</v>
      </c>
      <c r="B21" s="12" t="s">
        <v>1875</v>
      </c>
      <c r="C21" s="12" t="s">
        <v>1876</v>
      </c>
      <c r="D21" s="12" t="s">
        <v>1829</v>
      </c>
    </row>
    <row r="22" customFormat="false" ht="15" hidden="false" customHeight="true" outlineLevel="0" collapsed="false">
      <c r="A22" s="12" t="s">
        <v>1877</v>
      </c>
      <c r="B22" s="12" t="s">
        <v>1878</v>
      </c>
      <c r="C22" s="12" t="s">
        <v>1879</v>
      </c>
      <c r="D22" s="12" t="s">
        <v>1829</v>
      </c>
    </row>
    <row r="23" customFormat="false" ht="15" hidden="false" customHeight="true" outlineLevel="0" collapsed="false">
      <c r="A23" s="12" t="s">
        <v>1877</v>
      </c>
      <c r="B23" s="12" t="s">
        <v>1880</v>
      </c>
      <c r="C23" s="12" t="s">
        <v>1881</v>
      </c>
      <c r="D23" s="12" t="s">
        <v>1850</v>
      </c>
    </row>
    <row r="24" customFormat="false" ht="15" hidden="false" customHeight="true" outlineLevel="0" collapsed="false">
      <c r="A24" s="12" t="s">
        <v>1854</v>
      </c>
      <c r="B24" s="12" t="s">
        <v>1882</v>
      </c>
      <c r="C24" s="12" t="s">
        <v>1883</v>
      </c>
      <c r="D24" s="12" t="s">
        <v>1850</v>
      </c>
    </row>
    <row r="25" customFormat="false" ht="15" hidden="false" customHeight="true" outlineLevel="0" collapsed="false">
      <c r="A25" s="12" t="s">
        <v>1884</v>
      </c>
      <c r="B25" s="12" t="s">
        <v>1885</v>
      </c>
      <c r="C25" s="12" t="s">
        <v>1886</v>
      </c>
      <c r="D25" s="12" t="s">
        <v>1829</v>
      </c>
    </row>
    <row r="26" customFormat="false" ht="15" hidden="false" customHeight="true" outlineLevel="0" collapsed="false">
      <c r="A26" s="12" t="s">
        <v>1887</v>
      </c>
      <c r="B26" s="12" t="s">
        <v>1888</v>
      </c>
      <c r="C26" s="12" t="s">
        <v>1889</v>
      </c>
      <c r="D26" s="12" t="s">
        <v>1829</v>
      </c>
    </row>
    <row r="27" customFormat="false" ht="27.75" hidden="false" customHeight="true" outlineLevel="0" collapsed="false">
      <c r="A27" s="12" t="s">
        <v>1884</v>
      </c>
      <c r="B27" s="12" t="s">
        <v>1890</v>
      </c>
      <c r="C27" s="12" t="s">
        <v>1891</v>
      </c>
      <c r="D27" s="12" t="s">
        <v>1845</v>
      </c>
    </row>
    <row r="28" customFormat="false" ht="15" hidden="false" customHeight="true" outlineLevel="0" collapsed="false">
      <c r="A28" s="12" t="s">
        <v>1892</v>
      </c>
      <c r="B28" s="12" t="s">
        <v>1893</v>
      </c>
      <c r="C28" s="12" t="s">
        <v>1894</v>
      </c>
      <c r="D28" s="12" t="s">
        <v>1829</v>
      </c>
    </row>
    <row r="29" customFormat="false" ht="15" hidden="false" customHeight="true" outlineLevel="0" collapsed="false">
      <c r="A29" s="12" t="s">
        <v>1892</v>
      </c>
      <c r="B29" s="12" t="s">
        <v>1895</v>
      </c>
      <c r="C29" s="12" t="s">
        <v>1896</v>
      </c>
      <c r="D29" s="12" t="s">
        <v>1829</v>
      </c>
    </row>
    <row r="30" customFormat="false" ht="15" hidden="false" customHeight="true" outlineLevel="0" collapsed="false">
      <c r="A30" s="12" t="s">
        <v>1892</v>
      </c>
      <c r="B30" s="12" t="s">
        <v>1897</v>
      </c>
      <c r="C30" s="12" t="s">
        <v>1898</v>
      </c>
      <c r="D30" s="12" t="s">
        <v>1845</v>
      </c>
    </row>
    <row r="31" customFormat="false" ht="15" hidden="false" customHeight="true" outlineLevel="0" collapsed="false">
      <c r="A31" s="12" t="s">
        <v>1892</v>
      </c>
      <c r="B31" s="12" t="s">
        <v>1899</v>
      </c>
      <c r="C31" s="12" t="s">
        <v>957</v>
      </c>
      <c r="D31" s="12" t="s">
        <v>1829</v>
      </c>
    </row>
    <row r="32" customFormat="false" ht="15" hidden="false" customHeight="true" outlineLevel="0" collapsed="false">
      <c r="A32" s="12" t="s">
        <v>1892</v>
      </c>
      <c r="B32" s="12" t="s">
        <v>1900</v>
      </c>
      <c r="C32" s="12" t="s">
        <v>1901</v>
      </c>
      <c r="D32" s="12" t="s">
        <v>1829</v>
      </c>
    </row>
    <row r="33" customFormat="false" ht="15" hidden="false" customHeight="true" outlineLevel="0" collapsed="false">
      <c r="A33" s="12" t="s">
        <v>1892</v>
      </c>
      <c r="B33" s="12" t="s">
        <v>1902</v>
      </c>
      <c r="C33" s="12" t="s">
        <v>1903</v>
      </c>
      <c r="D33" s="12" t="s">
        <v>1850</v>
      </c>
    </row>
    <row r="34" customFormat="false" ht="15" hidden="false" customHeight="true" outlineLevel="0" collapsed="false">
      <c r="A34" s="12" t="s">
        <v>1892</v>
      </c>
      <c r="B34" s="12" t="s">
        <v>1904</v>
      </c>
      <c r="C34" s="12" t="s">
        <v>1905</v>
      </c>
      <c r="D34" s="12" t="s">
        <v>1845</v>
      </c>
    </row>
  </sheetData>
  <autoFilter ref="A1:D34"/>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4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30"/>
    <col collapsed="false" customWidth="true" hidden="false" outlineLevel="0" max="2" min="2" style="1" width="12"/>
    <col collapsed="false" customWidth="true" hidden="false" outlineLevel="0" max="3" min="3" style="1" width="90"/>
    <col collapsed="false" customWidth="true" hidden="false" outlineLevel="0" max="4" min="4" style="1" width="12"/>
    <col collapsed="false" customWidth="true" hidden="false" outlineLevel="0" max="5" min="5" style="1" width="10"/>
    <col collapsed="false" customWidth="true" hidden="false" outlineLevel="0" max="6" min="6" style="1" width="8"/>
  </cols>
  <sheetData>
    <row r="1" customFormat="false" ht="27.75" hidden="false" customHeight="true" outlineLevel="0" collapsed="false">
      <c r="A1" s="11" t="s">
        <v>1906</v>
      </c>
      <c r="B1" s="11" t="s">
        <v>1907</v>
      </c>
      <c r="C1" s="11" t="s">
        <v>37</v>
      </c>
      <c r="D1" s="11" t="s">
        <v>35</v>
      </c>
      <c r="E1" s="11" t="s">
        <v>30</v>
      </c>
      <c r="F1" s="11" t="s">
        <v>32</v>
      </c>
    </row>
    <row r="2" customFormat="false" ht="27.75" hidden="false" customHeight="true" outlineLevel="0" collapsed="false">
      <c r="A2" s="12" t="s">
        <v>1908</v>
      </c>
      <c r="B2" s="12" t="s">
        <v>1909</v>
      </c>
      <c r="C2" s="12" t="s">
        <v>348</v>
      </c>
      <c r="D2" s="12" t="s">
        <v>139</v>
      </c>
      <c r="E2" s="12" t="s">
        <v>148</v>
      </c>
      <c r="F2" s="12" t="s">
        <v>46</v>
      </c>
    </row>
    <row r="3" customFormat="false" ht="27.75" hidden="false" customHeight="true" outlineLevel="0" collapsed="false">
      <c r="A3" s="12" t="s">
        <v>1910</v>
      </c>
      <c r="B3" s="12" t="s">
        <v>1909</v>
      </c>
      <c r="C3" s="12" t="s">
        <v>1911</v>
      </c>
      <c r="D3" s="12" t="s">
        <v>71</v>
      </c>
      <c r="E3" s="12" t="s">
        <v>47</v>
      </c>
      <c r="F3" s="12" t="s">
        <v>169</v>
      </c>
    </row>
    <row r="4" customFormat="false" ht="27.75" hidden="false" customHeight="true" outlineLevel="0" collapsed="false">
      <c r="A4" s="12" t="s">
        <v>1912</v>
      </c>
      <c r="B4" s="12" t="s">
        <v>169</v>
      </c>
      <c r="C4" s="12" t="s">
        <v>350</v>
      </c>
      <c r="D4" s="12" t="s">
        <v>139</v>
      </c>
      <c r="E4" s="12" t="s">
        <v>148</v>
      </c>
      <c r="F4" s="12" t="s">
        <v>80</v>
      </c>
    </row>
    <row r="5" customFormat="false" ht="15" hidden="false" customHeight="true" outlineLevel="0" collapsed="false">
      <c r="A5" s="12" t="s">
        <v>1912</v>
      </c>
      <c r="B5" s="12" t="s">
        <v>169</v>
      </c>
      <c r="C5" s="12" t="s">
        <v>524</v>
      </c>
      <c r="D5" s="12" t="s">
        <v>139</v>
      </c>
      <c r="E5" s="12" t="s">
        <v>361</v>
      </c>
      <c r="F5" s="12" t="s">
        <v>46</v>
      </c>
    </row>
    <row r="6" customFormat="false" ht="27.75" hidden="false" customHeight="true" outlineLevel="0" collapsed="false">
      <c r="A6" s="12" t="s">
        <v>1913</v>
      </c>
      <c r="B6" s="12" t="s">
        <v>169</v>
      </c>
      <c r="C6" s="12" t="s">
        <v>496</v>
      </c>
      <c r="D6" s="12" t="s">
        <v>1914</v>
      </c>
      <c r="E6" s="12" t="s">
        <v>361</v>
      </c>
      <c r="F6" s="12" t="s">
        <v>46</v>
      </c>
    </row>
    <row r="7" customFormat="false" ht="27.75" hidden="false" customHeight="true" outlineLevel="0" collapsed="false">
      <c r="A7" s="12" t="s">
        <v>1915</v>
      </c>
      <c r="B7" s="12" t="s">
        <v>1916</v>
      </c>
      <c r="C7" s="12" t="s">
        <v>290</v>
      </c>
      <c r="D7" s="12" t="s">
        <v>71</v>
      </c>
      <c r="E7" s="12" t="s">
        <v>148</v>
      </c>
      <c r="F7" s="12" t="s">
        <v>46</v>
      </c>
    </row>
    <row r="8" customFormat="false" ht="15" hidden="false" customHeight="true" outlineLevel="0" collapsed="false">
      <c r="A8" s="12" t="s">
        <v>1917</v>
      </c>
      <c r="B8" s="12" t="s">
        <v>1918</v>
      </c>
      <c r="C8" s="12" t="s">
        <v>1919</v>
      </c>
      <c r="D8" s="12" t="s">
        <v>62</v>
      </c>
      <c r="E8" s="12" t="s">
        <v>47</v>
      </c>
      <c r="F8" s="12" t="s">
        <v>169</v>
      </c>
    </row>
    <row r="9" customFormat="false" ht="27.75" hidden="false" customHeight="true" outlineLevel="0" collapsed="false">
      <c r="A9" s="12" t="s">
        <v>1920</v>
      </c>
      <c r="B9" s="12" t="s">
        <v>1921</v>
      </c>
      <c r="C9" s="12" t="s">
        <v>1922</v>
      </c>
      <c r="D9" s="12" t="s">
        <v>71</v>
      </c>
      <c r="E9" s="12" t="s">
        <v>47</v>
      </c>
      <c r="F9" s="12" t="s">
        <v>169</v>
      </c>
    </row>
    <row r="10" customFormat="false" ht="27.75" hidden="false" customHeight="true" outlineLevel="0" collapsed="false">
      <c r="A10" s="12" t="s">
        <v>1923</v>
      </c>
      <c r="B10" s="12" t="s">
        <v>1924</v>
      </c>
      <c r="C10" s="12" t="s">
        <v>1925</v>
      </c>
      <c r="D10" s="12" t="s">
        <v>1914</v>
      </c>
      <c r="E10" s="12" t="s">
        <v>47</v>
      </c>
      <c r="F10" s="12" t="s">
        <v>169</v>
      </c>
    </row>
    <row r="11" customFormat="false" ht="27.75" hidden="false" customHeight="true" outlineLevel="0" collapsed="false">
      <c r="A11" s="12" t="s">
        <v>1926</v>
      </c>
      <c r="B11" s="12" t="s">
        <v>1927</v>
      </c>
      <c r="C11" s="12" t="s">
        <v>145</v>
      </c>
      <c r="D11" s="12" t="s">
        <v>139</v>
      </c>
      <c r="E11" s="12" t="s">
        <v>47</v>
      </c>
      <c r="F11" s="12" t="s">
        <v>65</v>
      </c>
    </row>
    <row r="12" customFormat="false" ht="41.25" hidden="false" customHeight="true" outlineLevel="0" collapsed="false">
      <c r="A12" s="12" t="s">
        <v>1928</v>
      </c>
      <c r="B12" s="12" t="s">
        <v>1929</v>
      </c>
      <c r="C12" s="12" t="s">
        <v>526</v>
      </c>
      <c r="D12" s="12" t="s">
        <v>139</v>
      </c>
      <c r="E12" s="12" t="s">
        <v>361</v>
      </c>
      <c r="F12" s="12" t="s">
        <v>46</v>
      </c>
    </row>
    <row r="13" customFormat="false" ht="15" hidden="false" customHeight="true" outlineLevel="0" collapsed="false">
      <c r="A13" s="12" t="s">
        <v>1928</v>
      </c>
      <c r="B13" s="12" t="s">
        <v>1930</v>
      </c>
      <c r="C13" s="12" t="s">
        <v>1931</v>
      </c>
      <c r="D13" s="12" t="s">
        <v>71</v>
      </c>
      <c r="E13" s="12" t="s">
        <v>47</v>
      </c>
      <c r="F13" s="12" t="s">
        <v>169</v>
      </c>
    </row>
    <row r="14" customFormat="false" ht="15" hidden="false" customHeight="true" outlineLevel="0" collapsed="false">
      <c r="A14" s="12" t="s">
        <v>1928</v>
      </c>
      <c r="B14" s="12" t="s">
        <v>1930</v>
      </c>
      <c r="C14" s="12" t="s">
        <v>1932</v>
      </c>
      <c r="D14" s="12" t="s">
        <v>62</v>
      </c>
      <c r="E14" s="12" t="s">
        <v>47</v>
      </c>
      <c r="F14" s="12" t="s">
        <v>169</v>
      </c>
    </row>
    <row r="15" customFormat="false" ht="15" hidden="false" customHeight="true" outlineLevel="0" collapsed="false">
      <c r="A15" s="12" t="s">
        <v>1933</v>
      </c>
      <c r="B15" s="12" t="s">
        <v>1930</v>
      </c>
      <c r="C15" s="12" t="s">
        <v>172</v>
      </c>
      <c r="D15" s="12" t="s">
        <v>62</v>
      </c>
      <c r="E15" s="12" t="s">
        <v>148</v>
      </c>
      <c r="F15" s="12" t="s">
        <v>46</v>
      </c>
    </row>
    <row r="16" customFormat="false" ht="15" hidden="false" customHeight="true" outlineLevel="0" collapsed="false">
      <c r="A16" s="12" t="s">
        <v>1933</v>
      </c>
      <c r="B16" s="12" t="s">
        <v>1930</v>
      </c>
      <c r="C16" s="12" t="s">
        <v>174</v>
      </c>
      <c r="D16" s="12" t="s">
        <v>62</v>
      </c>
      <c r="E16" s="12" t="s">
        <v>148</v>
      </c>
      <c r="F16" s="12" t="s">
        <v>46</v>
      </c>
    </row>
    <row r="17" customFormat="false" ht="41.25" hidden="false" customHeight="true" outlineLevel="0" collapsed="false">
      <c r="A17" s="12" t="s">
        <v>1934</v>
      </c>
      <c r="B17" s="12" t="s">
        <v>1935</v>
      </c>
      <c r="C17" s="12" t="s">
        <v>351</v>
      </c>
      <c r="D17" s="12" t="s">
        <v>139</v>
      </c>
      <c r="E17" s="12" t="s">
        <v>148</v>
      </c>
      <c r="F17" s="12" t="s">
        <v>46</v>
      </c>
    </row>
    <row r="18" customFormat="false" ht="15" hidden="false" customHeight="true" outlineLevel="0" collapsed="false">
      <c r="A18" s="12" t="s">
        <v>1934</v>
      </c>
      <c r="B18" s="12" t="s">
        <v>1935</v>
      </c>
      <c r="C18" s="12" t="s">
        <v>69</v>
      </c>
      <c r="D18" s="12" t="s">
        <v>62</v>
      </c>
      <c r="E18" s="12" t="s">
        <v>47</v>
      </c>
      <c r="F18" s="12" t="s">
        <v>46</v>
      </c>
    </row>
    <row r="19" customFormat="false" ht="27.75" hidden="false" customHeight="true" outlineLevel="0" collapsed="false">
      <c r="A19" s="12" t="s">
        <v>1936</v>
      </c>
      <c r="B19" s="12" t="s">
        <v>1937</v>
      </c>
      <c r="C19" s="12" t="s">
        <v>528</v>
      </c>
      <c r="D19" s="12" t="s">
        <v>139</v>
      </c>
      <c r="E19" s="12" t="s">
        <v>361</v>
      </c>
      <c r="F19" s="12" t="s">
        <v>46</v>
      </c>
    </row>
    <row r="20" customFormat="false" ht="27.75" hidden="false" customHeight="true" outlineLevel="0" collapsed="false">
      <c r="A20" s="12" t="s">
        <v>1936</v>
      </c>
      <c r="B20" s="12" t="s">
        <v>1938</v>
      </c>
      <c r="C20" s="12" t="s">
        <v>293</v>
      </c>
      <c r="D20" s="12" t="s">
        <v>71</v>
      </c>
      <c r="E20" s="12" t="s">
        <v>148</v>
      </c>
      <c r="F20" s="12" t="s">
        <v>46</v>
      </c>
    </row>
    <row r="21" customFormat="false" ht="27.75" hidden="false" customHeight="true" outlineLevel="0" collapsed="false">
      <c r="A21" s="12" t="s">
        <v>1939</v>
      </c>
      <c r="B21" s="12" t="s">
        <v>1940</v>
      </c>
      <c r="C21" s="12" t="s">
        <v>353</v>
      </c>
      <c r="D21" s="12" t="s">
        <v>139</v>
      </c>
      <c r="E21" s="12" t="s">
        <v>148</v>
      </c>
      <c r="F21" s="12" t="s">
        <v>46</v>
      </c>
    </row>
    <row r="22" customFormat="false" ht="27.75" hidden="false" customHeight="true" outlineLevel="0" collapsed="false">
      <c r="A22" s="12" t="s">
        <v>1941</v>
      </c>
      <c r="B22" s="12" t="s">
        <v>1942</v>
      </c>
      <c r="C22" s="12" t="s">
        <v>296</v>
      </c>
      <c r="D22" s="12" t="s">
        <v>71</v>
      </c>
      <c r="E22" s="12" t="s">
        <v>148</v>
      </c>
      <c r="F22" s="12" t="s">
        <v>46</v>
      </c>
    </row>
    <row r="23" customFormat="false" ht="27.75" hidden="false" customHeight="true" outlineLevel="0" collapsed="false">
      <c r="A23" s="12" t="s">
        <v>1943</v>
      </c>
      <c r="B23" s="12" t="s">
        <v>1944</v>
      </c>
      <c r="C23" s="12" t="s">
        <v>531</v>
      </c>
      <c r="D23" s="12" t="s">
        <v>139</v>
      </c>
      <c r="E23" s="12" t="s">
        <v>361</v>
      </c>
      <c r="F23" s="12" t="s">
        <v>46</v>
      </c>
    </row>
    <row r="24" customFormat="false" ht="27.75" hidden="false" customHeight="true" outlineLevel="0" collapsed="false">
      <c r="A24" s="12" t="s">
        <v>1943</v>
      </c>
      <c r="B24" s="12" t="s">
        <v>1945</v>
      </c>
      <c r="C24" s="12" t="s">
        <v>355</v>
      </c>
      <c r="D24" s="12" t="s">
        <v>139</v>
      </c>
      <c r="E24" s="12" t="s">
        <v>148</v>
      </c>
      <c r="F24" s="12" t="s">
        <v>46</v>
      </c>
    </row>
    <row r="25" customFormat="false" ht="27.75" hidden="false" customHeight="true" outlineLevel="0" collapsed="false">
      <c r="A25" s="12" t="s">
        <v>1946</v>
      </c>
      <c r="B25" s="12" t="s">
        <v>1947</v>
      </c>
      <c r="C25" s="12" t="s">
        <v>1948</v>
      </c>
      <c r="D25" s="12" t="s">
        <v>62</v>
      </c>
      <c r="E25" s="12" t="s">
        <v>148</v>
      </c>
      <c r="F25" s="12" t="s">
        <v>169</v>
      </c>
    </row>
    <row r="26" customFormat="false" ht="27.75" hidden="false" customHeight="true" outlineLevel="0" collapsed="false">
      <c r="A26" s="12" t="s">
        <v>1949</v>
      </c>
      <c r="B26" s="12" t="s">
        <v>1950</v>
      </c>
      <c r="C26" s="12" t="s">
        <v>532</v>
      </c>
      <c r="D26" s="12" t="s">
        <v>139</v>
      </c>
      <c r="E26" s="12" t="s">
        <v>361</v>
      </c>
      <c r="F26" s="12" t="s">
        <v>46</v>
      </c>
    </row>
    <row r="27" customFormat="false" ht="27.75" hidden="false" customHeight="true" outlineLevel="0" collapsed="false">
      <c r="A27" s="12" t="s">
        <v>1949</v>
      </c>
      <c r="B27" s="12" t="s">
        <v>1951</v>
      </c>
      <c r="C27" s="12" t="s">
        <v>534</v>
      </c>
      <c r="D27" s="12" t="s">
        <v>139</v>
      </c>
      <c r="E27" s="12" t="s">
        <v>361</v>
      </c>
      <c r="F27" s="12" t="s">
        <v>46</v>
      </c>
    </row>
    <row r="28" customFormat="false" ht="27.75" hidden="false" customHeight="true" outlineLevel="0" collapsed="false">
      <c r="A28" s="12" t="s">
        <v>1949</v>
      </c>
      <c r="B28" s="12" t="s">
        <v>1951</v>
      </c>
      <c r="C28" s="12" t="s">
        <v>535</v>
      </c>
      <c r="D28" s="12" t="s">
        <v>139</v>
      </c>
      <c r="E28" s="12" t="s">
        <v>361</v>
      </c>
      <c r="F28" s="12" t="s">
        <v>46</v>
      </c>
    </row>
    <row r="29" customFormat="false" ht="15" hidden="false" customHeight="true" outlineLevel="0" collapsed="false">
      <c r="A29" s="12" t="s">
        <v>1949</v>
      </c>
      <c r="B29" s="12" t="s">
        <v>1952</v>
      </c>
      <c r="C29" s="12" t="s">
        <v>536</v>
      </c>
      <c r="D29" s="12" t="s">
        <v>139</v>
      </c>
      <c r="E29" s="12" t="s">
        <v>361</v>
      </c>
      <c r="F29" s="12" t="s">
        <v>46</v>
      </c>
    </row>
    <row r="30" customFormat="false" ht="27.75" hidden="false" customHeight="true" outlineLevel="0" collapsed="false">
      <c r="A30" s="12" t="s">
        <v>1949</v>
      </c>
      <c r="B30" s="12" t="s">
        <v>1952</v>
      </c>
      <c r="C30" s="12" t="s">
        <v>176</v>
      </c>
      <c r="D30" s="12" t="s">
        <v>62</v>
      </c>
      <c r="E30" s="12" t="s">
        <v>148</v>
      </c>
      <c r="F30" s="12" t="s">
        <v>46</v>
      </c>
    </row>
    <row r="31" customFormat="false" ht="27.75" hidden="false" customHeight="true" outlineLevel="0" collapsed="false">
      <c r="A31" s="12" t="s">
        <v>1953</v>
      </c>
      <c r="B31" s="12" t="s">
        <v>1954</v>
      </c>
      <c r="C31" s="12" t="s">
        <v>538</v>
      </c>
      <c r="D31" s="12" t="s">
        <v>139</v>
      </c>
      <c r="E31" s="12" t="s">
        <v>361</v>
      </c>
      <c r="F31" s="12" t="s">
        <v>46</v>
      </c>
    </row>
    <row r="32" customFormat="false" ht="15" hidden="false" customHeight="true" outlineLevel="0" collapsed="false">
      <c r="A32" s="12" t="s">
        <v>1953</v>
      </c>
      <c r="B32" s="12" t="s">
        <v>1955</v>
      </c>
      <c r="C32" s="12" t="s">
        <v>540</v>
      </c>
      <c r="D32" s="12" t="s">
        <v>139</v>
      </c>
      <c r="E32" s="12" t="s">
        <v>361</v>
      </c>
      <c r="F32" s="12" t="s">
        <v>46</v>
      </c>
    </row>
    <row r="33" customFormat="false" ht="15" hidden="false" customHeight="true" outlineLevel="0" collapsed="false">
      <c r="A33" s="12" t="s">
        <v>1949</v>
      </c>
      <c r="B33" s="12" t="s">
        <v>1950</v>
      </c>
      <c r="C33" s="12" t="s">
        <v>376</v>
      </c>
      <c r="D33" s="12" t="s">
        <v>62</v>
      </c>
      <c r="E33" s="12" t="s">
        <v>361</v>
      </c>
      <c r="F33" s="12" t="s">
        <v>46</v>
      </c>
    </row>
    <row r="34" customFormat="false" ht="27.75" hidden="false" customHeight="true" outlineLevel="0" collapsed="false">
      <c r="A34" s="12" t="s">
        <v>1956</v>
      </c>
      <c r="B34" s="12" t="s">
        <v>1957</v>
      </c>
      <c r="C34" s="12" t="s">
        <v>299</v>
      </c>
      <c r="D34" s="12" t="s">
        <v>1914</v>
      </c>
      <c r="E34" s="12" t="s">
        <v>148</v>
      </c>
      <c r="F34" s="12" t="s">
        <v>46</v>
      </c>
    </row>
    <row r="35" customFormat="false" ht="27.75" hidden="false" customHeight="true" outlineLevel="0" collapsed="false">
      <c r="A35" s="12" t="s">
        <v>1958</v>
      </c>
      <c r="B35" s="12" t="s">
        <v>1959</v>
      </c>
      <c r="C35" s="12" t="s">
        <v>542</v>
      </c>
      <c r="D35" s="12" t="s">
        <v>139</v>
      </c>
      <c r="E35" s="12" t="s">
        <v>361</v>
      </c>
      <c r="F35" s="12" t="s">
        <v>46</v>
      </c>
    </row>
    <row r="36" customFormat="false" ht="27.75" hidden="false" customHeight="true" outlineLevel="0" collapsed="false">
      <c r="A36" s="12" t="s">
        <v>1960</v>
      </c>
      <c r="B36" s="12" t="s">
        <v>169</v>
      </c>
      <c r="C36" s="12" t="s">
        <v>494</v>
      </c>
      <c r="D36" s="12" t="s">
        <v>71</v>
      </c>
      <c r="E36" s="12" t="s">
        <v>361</v>
      </c>
      <c r="F36" s="12" t="s">
        <v>46</v>
      </c>
    </row>
    <row r="37" customFormat="false" ht="15" hidden="false" customHeight="true" outlineLevel="0" collapsed="false">
      <c r="A37" s="12" t="s">
        <v>1961</v>
      </c>
      <c r="B37" s="12" t="s">
        <v>1962</v>
      </c>
      <c r="C37" s="12" t="s">
        <v>545</v>
      </c>
      <c r="D37" s="12" t="s">
        <v>139</v>
      </c>
      <c r="E37" s="12" t="s">
        <v>361</v>
      </c>
      <c r="F37" s="12" t="s">
        <v>46</v>
      </c>
    </row>
    <row r="38" customFormat="false" ht="27.75" hidden="false" customHeight="true" outlineLevel="0" collapsed="false">
      <c r="A38" s="12" t="s">
        <v>1963</v>
      </c>
      <c r="B38" s="12" t="s">
        <v>1964</v>
      </c>
      <c r="C38" s="12" t="s">
        <v>357</v>
      </c>
      <c r="D38" s="12" t="s">
        <v>139</v>
      </c>
      <c r="E38" s="12" t="s">
        <v>148</v>
      </c>
      <c r="F38" s="12" t="s">
        <v>46</v>
      </c>
    </row>
    <row r="39" customFormat="false" ht="27.75" hidden="false" customHeight="true" outlineLevel="0" collapsed="false">
      <c r="A39" s="12" t="s">
        <v>1963</v>
      </c>
      <c r="B39" s="12" t="s">
        <v>1964</v>
      </c>
      <c r="C39" s="12" t="s">
        <v>358</v>
      </c>
      <c r="D39" s="12" t="s">
        <v>139</v>
      </c>
      <c r="E39" s="12" t="s">
        <v>148</v>
      </c>
      <c r="F39" s="12" t="s">
        <v>46</v>
      </c>
    </row>
    <row r="40" customFormat="false" ht="27.75" hidden="false" customHeight="true" outlineLevel="0" collapsed="false">
      <c r="A40" s="12" t="s">
        <v>1963</v>
      </c>
      <c r="B40" s="12" t="s">
        <v>1965</v>
      </c>
      <c r="C40" s="12" t="s">
        <v>547</v>
      </c>
      <c r="D40" s="12" t="s">
        <v>139</v>
      </c>
      <c r="E40" s="12" t="s">
        <v>361</v>
      </c>
      <c r="F40" s="12" t="s">
        <v>46</v>
      </c>
    </row>
    <row r="41" customFormat="false" ht="27.75" hidden="false" customHeight="true" outlineLevel="0" collapsed="false">
      <c r="A41" s="12" t="s">
        <v>1966</v>
      </c>
      <c r="B41" s="12" t="s">
        <v>1967</v>
      </c>
      <c r="C41" s="12" t="s">
        <v>549</v>
      </c>
      <c r="D41" s="12" t="s">
        <v>139</v>
      </c>
      <c r="E41" s="12" t="s">
        <v>361</v>
      </c>
      <c r="F41" s="12" t="s">
        <v>46</v>
      </c>
    </row>
    <row r="42" customFormat="false" ht="27.75" hidden="false" customHeight="true" outlineLevel="0" collapsed="false">
      <c r="A42" s="12" t="s">
        <v>1966</v>
      </c>
      <c r="B42" s="12" t="s">
        <v>1967</v>
      </c>
      <c r="C42" s="12" t="s">
        <v>550</v>
      </c>
      <c r="D42" s="12" t="s">
        <v>139</v>
      </c>
      <c r="E42" s="12" t="s">
        <v>361</v>
      </c>
      <c r="F42" s="12" t="s">
        <v>46</v>
      </c>
    </row>
    <row r="43" customFormat="false" ht="15" hidden="false" customHeight="true" outlineLevel="0" collapsed="false">
      <c r="A43" s="12" t="s">
        <v>1968</v>
      </c>
      <c r="B43" s="12" t="s">
        <v>1969</v>
      </c>
      <c r="C43" s="12" t="s">
        <v>553</v>
      </c>
      <c r="D43" s="12" t="s">
        <v>139</v>
      </c>
      <c r="E43" s="12" t="s">
        <v>361</v>
      </c>
      <c r="F43" s="12" t="s">
        <v>46</v>
      </c>
    </row>
    <row r="44" customFormat="false" ht="27.75" hidden="false" customHeight="true" outlineLevel="0" collapsed="false">
      <c r="A44" s="12" t="s">
        <v>1968</v>
      </c>
      <c r="B44" s="12" t="s">
        <v>1970</v>
      </c>
      <c r="C44" s="12" t="s">
        <v>555</v>
      </c>
      <c r="D44" s="12" t="s">
        <v>139</v>
      </c>
      <c r="E44" s="12" t="s">
        <v>361</v>
      </c>
      <c r="F44" s="12" t="s">
        <v>46</v>
      </c>
    </row>
    <row r="45" customFormat="false" ht="27.75" hidden="false" customHeight="true" outlineLevel="0" collapsed="false">
      <c r="A45" s="12" t="s">
        <v>1968</v>
      </c>
      <c r="B45" s="12" t="s">
        <v>1971</v>
      </c>
      <c r="C45" s="12" t="s">
        <v>557</v>
      </c>
      <c r="D45" s="12" t="s">
        <v>139</v>
      </c>
      <c r="E45" s="12" t="s">
        <v>361</v>
      </c>
      <c r="F45" s="12" t="s">
        <v>46</v>
      </c>
    </row>
    <row r="46" customFormat="false" ht="27.75" hidden="false" customHeight="true" outlineLevel="0" collapsed="false">
      <c r="A46" s="12" t="s">
        <v>1972</v>
      </c>
      <c r="B46" s="12" t="s">
        <v>1973</v>
      </c>
      <c r="C46" s="12" t="s">
        <v>559</v>
      </c>
      <c r="D46" s="12" t="s">
        <v>139</v>
      </c>
      <c r="E46" s="12" t="s">
        <v>361</v>
      </c>
      <c r="F46" s="12" t="s">
        <v>46</v>
      </c>
    </row>
    <row r="47" customFormat="false" ht="15" hidden="false" customHeight="true" outlineLevel="0" collapsed="false">
      <c r="A47" s="12" t="s">
        <v>1974</v>
      </c>
      <c r="B47" s="12" t="s">
        <v>1975</v>
      </c>
      <c r="C47" s="12" t="s">
        <v>561</v>
      </c>
      <c r="D47" s="12" t="s">
        <v>139</v>
      </c>
      <c r="E47" s="12" t="s">
        <v>361</v>
      </c>
      <c r="F47" s="12" t="s">
        <v>46</v>
      </c>
    </row>
    <row r="48" customFormat="false" ht="54.75" hidden="false" customHeight="true" outlineLevel="0" collapsed="false">
      <c r="A48" s="12" t="s">
        <v>1976</v>
      </c>
      <c r="B48" s="12" t="s">
        <v>169</v>
      </c>
      <c r="C48" s="12" t="s">
        <v>60</v>
      </c>
      <c r="D48" s="12" t="s">
        <v>42</v>
      </c>
      <c r="E48" s="12" t="s">
        <v>47</v>
      </c>
      <c r="F48" s="12" t="s">
        <v>46</v>
      </c>
    </row>
  </sheetData>
  <autoFilter ref="A1:F48"/>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10"/>
    <col collapsed="false" customWidth="true" hidden="false" outlineLevel="0" max="2" min="2" style="1" width="52"/>
    <col collapsed="false" customWidth="true" hidden="false" outlineLevel="0" max="3" min="3" style="1" width="14"/>
    <col collapsed="false" customWidth="true" hidden="false" outlineLevel="0" max="4" min="4" style="1" width="46"/>
  </cols>
  <sheetData>
    <row r="1" customFormat="false" ht="15" hidden="false" customHeight="true" outlineLevel="0" collapsed="false">
      <c r="A1" s="11" t="s">
        <v>1236</v>
      </c>
      <c r="B1" s="11" t="s">
        <v>1910</v>
      </c>
      <c r="C1" s="11" t="s">
        <v>1977</v>
      </c>
      <c r="D1" s="11" t="s">
        <v>1978</v>
      </c>
    </row>
    <row r="2" customFormat="false" ht="15" hidden="false" customHeight="true" outlineLevel="0" collapsed="false">
      <c r="A2" s="12" t="s">
        <v>1240</v>
      </c>
      <c r="B2" s="12" t="s">
        <v>1979</v>
      </c>
      <c r="C2" s="12" t="s">
        <v>1980</v>
      </c>
      <c r="D2" s="12" t="s">
        <v>1981</v>
      </c>
    </row>
    <row r="3" customFormat="false" ht="15" hidden="false" customHeight="true" outlineLevel="0" collapsed="false">
      <c r="A3" s="12" t="s">
        <v>1306</v>
      </c>
      <c r="B3" s="12" t="s">
        <v>1982</v>
      </c>
      <c r="C3" s="12" t="s">
        <v>1980</v>
      </c>
      <c r="D3" s="12" t="s">
        <v>1981</v>
      </c>
    </row>
    <row r="4" customFormat="false" ht="15" hidden="false" customHeight="true" outlineLevel="0" collapsed="false">
      <c r="A4" s="12" t="s">
        <v>1315</v>
      </c>
      <c r="B4" s="12" t="s">
        <v>1983</v>
      </c>
      <c r="C4" s="12" t="s">
        <v>1980</v>
      </c>
      <c r="D4" s="12" t="s">
        <v>1981</v>
      </c>
    </row>
    <row r="5" customFormat="false" ht="15" hidden="false" customHeight="true" outlineLevel="0" collapsed="false">
      <c r="A5" s="12" t="s">
        <v>1328</v>
      </c>
      <c r="B5" s="12" t="s">
        <v>1984</v>
      </c>
      <c r="C5" s="12" t="s">
        <v>1980</v>
      </c>
      <c r="D5" s="12" t="s">
        <v>1981</v>
      </c>
    </row>
    <row r="6" customFormat="false" ht="15" hidden="false" customHeight="true" outlineLevel="0" collapsed="false">
      <c r="A6" s="12" t="s">
        <v>1339</v>
      </c>
      <c r="B6" s="12" t="s">
        <v>1985</v>
      </c>
      <c r="C6" s="12" t="s">
        <v>1980</v>
      </c>
      <c r="D6" s="12" t="s">
        <v>1981</v>
      </c>
    </row>
    <row r="7" customFormat="false" ht="15" hidden="false" customHeight="true" outlineLevel="0" collapsed="false">
      <c r="A7" s="12" t="s">
        <v>1362</v>
      </c>
      <c r="B7" s="12" t="s">
        <v>1986</v>
      </c>
      <c r="C7" s="12" t="s">
        <v>1980</v>
      </c>
      <c r="D7" s="12" t="s">
        <v>1981</v>
      </c>
    </row>
    <row r="8" customFormat="false" ht="15" hidden="false" customHeight="true" outlineLevel="0" collapsed="false">
      <c r="A8" s="12" t="s">
        <v>1383</v>
      </c>
      <c r="B8" s="12" t="s">
        <v>1987</v>
      </c>
      <c r="C8" s="12" t="s">
        <v>1980</v>
      </c>
      <c r="D8" s="12" t="s">
        <v>1981</v>
      </c>
    </row>
    <row r="9" customFormat="false" ht="15" hidden="false" customHeight="true" outlineLevel="0" collapsed="false">
      <c r="A9" s="12" t="s">
        <v>1401</v>
      </c>
      <c r="B9" s="12" t="s">
        <v>1988</v>
      </c>
      <c r="C9" s="12" t="s">
        <v>1980</v>
      </c>
      <c r="D9" s="12" t="s">
        <v>1981</v>
      </c>
    </row>
    <row r="10" customFormat="false" ht="15" hidden="false" customHeight="true" outlineLevel="0" collapsed="false">
      <c r="A10" s="12" t="s">
        <v>1418</v>
      </c>
      <c r="B10" s="12" t="s">
        <v>1989</v>
      </c>
      <c r="C10" s="12" t="s">
        <v>1980</v>
      </c>
      <c r="D10" s="12" t="s">
        <v>1981</v>
      </c>
    </row>
    <row r="11" customFormat="false" ht="15" hidden="false" customHeight="true" outlineLevel="0" collapsed="false">
      <c r="A11" s="12" t="s">
        <v>1444</v>
      </c>
      <c r="B11" s="12" t="s">
        <v>1990</v>
      </c>
      <c r="C11" s="12" t="s">
        <v>1980</v>
      </c>
      <c r="D11" s="12" t="s">
        <v>1981</v>
      </c>
    </row>
    <row r="12" customFormat="false" ht="15" hidden="false" customHeight="true" outlineLevel="0" collapsed="false">
      <c r="A12" s="12" t="s">
        <v>1478</v>
      </c>
      <c r="B12" s="12" t="s">
        <v>1991</v>
      </c>
      <c r="C12" s="12" t="s">
        <v>1980</v>
      </c>
      <c r="D12" s="12" t="s">
        <v>1981</v>
      </c>
    </row>
    <row r="13" customFormat="false" ht="15" hidden="false" customHeight="true" outlineLevel="0" collapsed="false">
      <c r="A13" s="12" t="s">
        <v>1505</v>
      </c>
      <c r="B13" s="12" t="s">
        <v>1992</v>
      </c>
      <c r="C13" s="12" t="s">
        <v>1980</v>
      </c>
      <c r="D13" s="12" t="s">
        <v>1981</v>
      </c>
    </row>
    <row r="14" customFormat="false" ht="15" hidden="false" customHeight="true" outlineLevel="0" collapsed="false">
      <c r="A14" s="12" t="s">
        <v>1525</v>
      </c>
      <c r="B14" s="12" t="s">
        <v>1993</v>
      </c>
      <c r="C14" s="12" t="s">
        <v>1980</v>
      </c>
      <c r="D14" s="12" t="s">
        <v>1981</v>
      </c>
    </row>
    <row r="15" customFormat="false" ht="15" hidden="false" customHeight="true" outlineLevel="0" collapsed="false">
      <c r="A15" s="12" t="s">
        <v>1541</v>
      </c>
      <c r="B15" s="12" t="s">
        <v>1994</v>
      </c>
      <c r="C15" s="12" t="s">
        <v>1980</v>
      </c>
      <c r="D15" s="12" t="s">
        <v>1981</v>
      </c>
    </row>
    <row r="16" customFormat="false" ht="27.75" hidden="false" customHeight="true" outlineLevel="0" collapsed="false">
      <c r="A16" s="12" t="s">
        <v>1995</v>
      </c>
      <c r="B16" s="12" t="s">
        <v>1996</v>
      </c>
      <c r="C16" s="12" t="s">
        <v>1997</v>
      </c>
      <c r="D16" s="12" t="s">
        <v>1998</v>
      </c>
    </row>
  </sheetData>
  <autoFilter ref="A1:D16"/>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2026-10-24T10:55:20Z</dcterms:created>
  <dc:creator>openpyxl</dc:creator>
  <dc:description/>
  <dc:language>en-US</dc:language>
  <cp:lastModifiedBy/>
  <dcterms:modified xsi:type="dcterms:W3CDTF">2026-10-25T12:46:55Z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