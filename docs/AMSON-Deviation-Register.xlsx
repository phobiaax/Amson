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-Do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Use Cases" sheetId="4" state="visible" r:id="rId4"/>
    <sheet xmlns:r="http://schemas.openxmlformats.org/officeDocument/2006/relationships" name="Activity Diagrams" sheetId="5" state="visible" r:id="rId5"/>
    <sheet xmlns:r="http://schemas.openxmlformats.org/officeDocument/2006/relationships" name="Contradictions" sheetId="6" state="visible" r:id="rId6"/>
    <sheet xmlns:r="http://schemas.openxmlformats.org/officeDocument/2006/relationships" name="Tech Stack" sheetId="7" state="visible" r:id="rId7"/>
    <sheet xmlns:r="http://schemas.openxmlformats.org/officeDocument/2006/relationships" name="Paper Edits" sheetId="8" state="visible" r:id="rId8"/>
    <sheet xmlns:r="http://schemas.openxmlformats.org/officeDocument/2006/relationships" name="Removals (Letter)" sheetId="9" state="visible" r:id="rId9"/>
    <sheet xmlns:r="http://schemas.openxmlformats.org/officeDocument/2006/relationships" name="Report Formats" sheetId="10" state="visible" r:id="rId10"/>
    <sheet xmlns:r="http://schemas.openxmlformats.org/officeDocument/2006/relationships" name="Interview Asks" sheetId="11" state="visible" r:id="rId11"/>
    <sheet xmlns:r="http://schemas.openxmlformats.org/officeDocument/2006/relationships" name="Manuscript Pass" sheetId="12" state="visible" r:id="rId12"/>
    <sheet xmlns:r="http://schemas.openxmlformats.org/officeDocument/2006/relationships" name="Figures" sheetId="13" state="visible" r:id="rId13"/>
  </sheets>
  <definedNames>
    <definedName name="_xlnm._FilterDatabase" localSheetId="1" hidden="1">'To-Do'!$A$1:$K$132</definedName>
    <definedName name="_xlnm._FilterDatabase" localSheetId="2" hidden="1">'Requirements'!$A$1:$K$154</definedName>
    <definedName name="_xlnm._FilterDatabase" localSheetId="3" hidden="1">'Use Cases'!$A$1:$F$71</definedName>
    <definedName name="_xlnm._FilterDatabase" localSheetId="4" hidden="1">'Activity Diagrams'!$A$1:$G$46</definedName>
    <definedName name="_xlnm._FilterDatabase" localSheetId="5" hidden="1">'Contradictions'!$A$1:$E$20</definedName>
    <definedName name="_xlnm._FilterDatabase" localSheetId="6" hidden="1">'Tech Stack'!$A$1:$E$18</definedName>
    <definedName name="_xlnm._FilterDatabase" localSheetId="7" hidden="1">'Paper Edits'!$A$1:$B$23</definedName>
    <definedName name="_xlnm._FilterDatabase" localSheetId="8" hidden="1">'Removals (Letter)'!$A$1:$E$15</definedName>
    <definedName name="_xlnm._FilterDatabase" localSheetId="9" hidden="1">'Report Formats'!$A$1:$E$13</definedName>
    <definedName name="_xlnm._FilterDatabase" localSheetId="10" hidden="1">'Interview Asks'!$A$1:$D$34</definedName>
    <definedName name="_xlnm._FilterDatabase" localSheetId="11" hidden="1">'Manuscript Pass'!$A$1:$F$48</definedName>
    <definedName name="_xlnm._FilterDatabase" localSheetId="12" hidden="1">'Figures'!$A$1:$D$16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2121B"/>
      </patternFill>
    </fill>
    <fill>
      <patternFill patternType="solid">
        <fgColor rgb="00D9F2E3"/>
      </patternFill>
    </fill>
    <fill>
      <patternFill patternType="solid">
        <fgColor rgb="00FDF1D6"/>
      </patternFill>
    </fill>
    <fill>
      <patternFill patternType="solid">
        <fgColor rgb="00FCE1C6"/>
      </patternFill>
    </fill>
    <fill>
      <patternFill patternType="solid">
        <fgColor rgb="00F9D2D4"/>
      </patternFill>
    </fill>
    <fill>
      <patternFill patternType="solid">
        <fgColor rgb="00E6E9EF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9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  <col width="18" customWidth="1" min="3" max="3"/>
  </cols>
  <sheetData>
    <row r="1">
      <c r="A1" s="1" t="inlineStr">
        <is>
          <t>AMSON - Paper vs. System Deviation Register</t>
        </is>
      </c>
    </row>
    <row r="2">
      <c r="A2" t="inlineStr">
        <is>
          <t>Baseline: manuscript dated May 16, 2026 (approved May 22, 2026). System: branch webapp, commit 41f61c8 (2026-10-04).</t>
        </is>
      </c>
    </row>
    <row r="3">
      <c r="A3" t="inlineStr">
        <is>
          <t>Reviewed: full manuscript text incl. 4 interview transcripts; Figures 2.2-2.15 (diagrams + text), second full pass of every section incl. tech stack, Gantt, budget, references. Not compared: wireframes 2.16-2.21. The To-Do sheet is the master list.</t>
        </is>
      </c>
    </row>
    <row r="5">
      <c r="A5" s="2" t="inlineStr">
        <is>
          <t>Status</t>
        </is>
      </c>
      <c r="B5" s="2" t="inlineStr">
        <is>
          <t>Requirements</t>
        </is>
      </c>
      <c r="C5" s="2" t="inlineStr">
        <is>
          <t>Use-case bubbles</t>
        </is>
      </c>
    </row>
    <row r="6">
      <c r="A6" s="3" t="inlineStr">
        <is>
          <t>Matches</t>
        </is>
      </c>
      <c r="B6">
        <f>COUNTIF(Requirements!D:D,"Matches")</f>
        <v/>
      </c>
      <c r="C6">
        <f>COUNTIF('Use Cases'!D:D,"Matches")</f>
        <v/>
      </c>
    </row>
    <row r="7">
      <c r="A7" s="4" t="inlineStr">
        <is>
          <t>Partial</t>
        </is>
      </c>
      <c r="B7">
        <f>COUNTIF(Requirements!D:D,"Partial")</f>
        <v/>
      </c>
      <c r="C7">
        <f>COUNTIF('Use Cases'!D:D,"Partial")</f>
        <v/>
      </c>
    </row>
    <row r="8">
      <c r="A8" s="5" t="inlineStr">
        <is>
          <t>Deviates</t>
        </is>
      </c>
      <c r="B8">
        <f>COUNTIF(Requirements!D:D,"Deviates")</f>
        <v/>
      </c>
      <c r="C8">
        <f>COUNTIF('Use Cases'!D:D,"Deviates")</f>
        <v/>
      </c>
    </row>
    <row r="9">
      <c r="A9" s="6" t="inlineStr">
        <is>
          <t>Missing</t>
        </is>
      </c>
      <c r="B9">
        <f>COUNTIF(Requirements!D:D,"Missing")</f>
        <v/>
      </c>
      <c r="C9">
        <f>COUNTIF('Use Cases'!D:D,"Missing")</f>
        <v/>
      </c>
    </row>
    <row r="10">
      <c r="A10" s="7" t="inlineStr">
        <is>
          <t>Not verified</t>
        </is>
      </c>
      <c r="B10">
        <f>COUNTIF(Requirements!D:D,"Not verified")</f>
        <v/>
      </c>
      <c r="C10">
        <f>COUNTIF('Use Cases'!D:D,"Not verified")</f>
        <v/>
      </c>
    </row>
    <row r="11">
      <c r="A11" s="8" t="inlineStr">
        <is>
          <t>N/A</t>
        </is>
      </c>
      <c r="B11">
        <f>COUNTIF(Requirements!D:D,"N/A")</f>
        <v/>
      </c>
      <c r="C11">
        <f>COUNTIF('Use Cases'!D:D,"N/A")</f>
        <v/>
      </c>
    </row>
    <row r="12">
      <c r="A12" s="9" t="inlineStr">
        <is>
          <t>Total</t>
        </is>
      </c>
      <c r="B12">
        <f>SUM(B6:B11)</f>
        <v/>
      </c>
      <c r="C12">
        <f>SUM(C6:C11)</f>
        <v/>
      </c>
    </row>
    <row r="14">
      <c r="A14" s="2" t="inlineStr">
        <is>
          <t>Recommendation</t>
        </is>
      </c>
      <c r="B14" s="2" t="inlineStr">
        <is>
          <t>Requirements</t>
        </is>
      </c>
    </row>
    <row r="15">
      <c r="A15" t="inlineStr">
        <is>
          <t>Change system</t>
        </is>
      </c>
      <c r="B15">
        <f>COUNTIF(Requirements!G:G,"Change system")</f>
        <v/>
      </c>
    </row>
    <row r="16">
      <c r="A16" t="inlineStr">
        <is>
          <t>Change paper</t>
        </is>
      </c>
      <c r="B16">
        <f>COUNTIF(Requirements!G:G,"Change paper")</f>
        <v/>
      </c>
    </row>
    <row r="17">
      <c r="A17" t="inlineStr">
        <is>
          <t>System + paper</t>
        </is>
      </c>
      <c r="B17">
        <f>COUNTIF(Requirements!G:G,"System + paper")</f>
        <v/>
      </c>
    </row>
    <row r="18">
      <c r="A18" t="inlineStr">
        <is>
          <t>Move to Limitations</t>
        </is>
      </c>
      <c r="B18">
        <f>COUNTIF(Requirements!G:G,"Move to Limitations")</f>
        <v/>
      </c>
    </row>
    <row r="19">
      <c r="A19" t="inlineStr">
        <is>
          <t>Decision needed</t>
        </is>
      </c>
      <c r="B19">
        <f>COUNTIF(Requirements!G:G,"Decision needed")</f>
        <v/>
      </c>
    </row>
    <row r="20">
      <c r="A20" s="9" t="inlineStr">
        <is>
          <t>Open to-do items</t>
        </is>
      </c>
      <c r="B20">
        <f>COUNTIF('To-Do'!K:K,"Open")</f>
        <v/>
      </c>
    </row>
    <row r="22">
      <c r="A22" s="9" t="inlineStr">
        <is>
          <t>Legend</t>
        </is>
      </c>
    </row>
    <row r="23">
      <c r="A23" s="9" t="inlineStr">
        <is>
          <t>Matches</t>
        </is>
      </c>
      <c r="B23" t="inlineStr">
        <is>
          <t>System does what the paper says.</t>
        </is>
      </c>
    </row>
    <row r="24">
      <c r="A24" s="9" t="inlineStr">
        <is>
          <t>Partial</t>
        </is>
      </c>
      <c r="B24" t="inlineStr">
        <is>
          <t>Some of it is built; the rest is missing or different.</t>
        </is>
      </c>
    </row>
    <row r="25">
      <c r="A25" s="9" t="inlineStr">
        <is>
          <t>Deviates</t>
        </is>
      </c>
      <c r="B25" t="inlineStr">
        <is>
          <t>Built, but behaves differently from the paper.</t>
        </is>
      </c>
    </row>
    <row r="26">
      <c r="A26" s="9" t="inlineStr">
        <is>
          <t>Missing</t>
        </is>
      </c>
      <c r="B26" t="inlineStr">
        <is>
          <t>Not built.</t>
        </is>
      </c>
    </row>
    <row r="27">
      <c r="A27" s="9" t="inlineStr">
        <is>
          <t>Not verified</t>
        </is>
      </c>
      <c r="B27" t="inlineStr">
        <is>
          <t>Can't be judged from the code; needs testing.</t>
        </is>
      </c>
    </row>
    <row r="28">
      <c r="A28" s="9" t="inlineStr">
        <is>
          <t>Change system / Change paper / System + paper</t>
        </is>
      </c>
      <c r="B28" t="inlineStr">
        <is>
          <t>Which side to fix.</t>
        </is>
      </c>
    </row>
    <row r="29">
      <c r="A29" s="9" t="inlineStr">
        <is>
          <t>Move to Limitations</t>
        </is>
      </c>
      <c r="B29" t="inlineStr">
        <is>
          <t>Keep out of scope, state it in Scope and Limitations.</t>
        </is>
      </c>
    </row>
    <row r="30">
      <c r="A30" s="9" t="inlineStr">
        <is>
          <t>Decision needed</t>
        </is>
      </c>
      <c r="B30" t="inlineStr">
        <is>
          <t>Too big or a policy choice - the team decides.</t>
        </is>
      </c>
    </row>
    <row r="31">
      <c r="A31" s="9" t="inlineStr">
        <is>
          <t>Defense risk</t>
        </is>
      </c>
      <c r="B31" t="inlineStr">
        <is>
          <t>How likely the panel hits it: High / Med / Low.</t>
        </is>
      </c>
    </row>
    <row r="32">
      <c r="A32" s="9" t="inlineStr">
        <is>
          <t>Effort</t>
        </is>
      </c>
      <c r="B32" t="inlineStr">
        <is>
          <t>S = hours, M = about a day, L = several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72" customWidth="1" min="4" max="4"/>
    <col width="14" customWidth="1" min="5" max="5"/>
    <col width="7" customWidth="1" min="6" max="6"/>
    <col width="10" customWidth="1" min="7" max="7"/>
    <col width="34" customWidth="1" min="8" max="8"/>
    <col width="22" customWidth="1" min="9" max="9"/>
    <col width="12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Area</t>
        </is>
      </c>
      <c r="C1" s="10" t="inlineStr">
        <is>
          <t>Where / refs</t>
        </is>
      </c>
      <c r="D1" s="10" t="inlineStr">
        <is>
          <t>Item</t>
        </is>
      </c>
      <c r="E1" s="10" t="inlineStr">
        <is>
          <t>Type</t>
        </is>
      </c>
      <c r="F1" s="10" t="inlineStr">
        <is>
          <t>Effort</t>
        </is>
      </c>
      <c r="G1" s="10" t="inlineStr">
        <is>
          <t>Defense risk</t>
        </is>
      </c>
      <c r="H1" s="10" t="inlineStr">
        <is>
          <t>Notes</t>
        </is>
      </c>
      <c r="I1" s="10" t="inlineStr">
        <is>
          <t>Paper impact</t>
        </is>
      </c>
      <c r="J1" s="10" t="inlineStr">
        <is>
          <t>Owner</t>
        </is>
      </c>
      <c r="K1" s="10" t="inlineStr">
        <is>
          <t>Status</t>
        </is>
      </c>
    </row>
    <row r="2">
      <c r="A2" s="11" t="n">
        <v>1</v>
      </c>
      <c r="B2" s="11" t="inlineStr">
        <is>
          <t>Client</t>
        </is>
      </c>
      <c r="C2" s="11" t="inlineStr">
        <is>
          <t>Client items (-)</t>
        </is>
      </c>
      <c r="D2" s="11" t="inlineStr">
        <is>
          <t>Get from the client: the QR Ph image, the sales invoice format, and the store details for the footer (hotline, email, hours, address, FDA LTO No. - fill js/store-info.js); have them review the Terms/Privacy text. Ask them: are all sales VAT-exempt (sample shows VATable 0.00), is pay-in/pay-out used, who tracks credit collections, which categories to use, may we load the real catalog for the demo?</t>
        </is>
      </c>
      <c r="E2" s="11" t="inlineStr">
        <is>
          <t>Manuscript pass</t>
        </is>
      </c>
      <c r="F2" s="11" t="inlineStr">
        <is>
          <t>S</t>
        </is>
      </c>
      <c r="G2" s="11" t="inlineStr">
        <is>
          <t>High</t>
        </is>
      </c>
      <c r="H2" s="11" t="inlineStr"/>
      <c r="I2" s="11" t="inlineStr">
        <is>
          <t>None</t>
        </is>
      </c>
      <c r="J2" s="11" t="inlineStr"/>
      <c r="K2" s="11" t="inlineStr">
        <is>
          <t>Open</t>
        </is>
      </c>
    </row>
    <row r="3">
      <c r="A3" s="11" t="n">
        <v>2</v>
      </c>
      <c r="B3" s="11" t="inlineStr">
        <is>
          <t>System</t>
        </is>
      </c>
      <c r="C3" s="11" t="inlineStr">
        <is>
          <t>REQ035-038, REQ108-110, REQNF008, REQNF012</t>
        </is>
      </c>
      <c r="D3" s="11" t="inlineStr">
        <is>
          <t>Live chat (guest/customer widget, staff console, resolve threads; AI replies)</t>
        </is>
      </c>
      <c r="E3" s="11" t="inlineStr">
        <is>
          <t>Missing</t>
        </is>
      </c>
      <c r="F3" s="11" t="inlineStr">
        <is>
          <t>L</t>
        </is>
      </c>
      <c r="G3" s="11" t="inlineStr">
        <is>
          <t>High</t>
        </is>
      </c>
      <c r="H3" s="11" t="inlineStr">
        <is>
          <t>DECIDED: build it on Gemini via Firebase AI Logic (free tier), swappable to Groq; FAQ answers without AI calls; staff handoff when the free limit is hit. Verify the project's limit in AI Studio first. Decide: build (AI needs a server function) or scope down + Limitations. Affects Objective 1, Scope, Comparative Analysis.</t>
        </is>
      </c>
      <c r="I3" s="11" t="inlineStr">
        <is>
          <t>None</t>
        </is>
      </c>
      <c r="J3" s="11" t="inlineStr"/>
      <c r="K3" s="11" t="inlineStr">
        <is>
          <t>Open</t>
        </is>
      </c>
    </row>
    <row r="4">
      <c r="A4" s="11" t="n">
        <v>3</v>
      </c>
      <c r="B4" s="11" t="inlineStr">
        <is>
          <t>Decision</t>
        </is>
      </c>
      <c r="C4" s="11" t="inlineStr">
        <is>
          <t>Comparative Analysis (p.18)</t>
        </is>
      </c>
      <c r="D4" s="11" t="inlineStr">
        <is>
          <t>The proposed system gets a tick for 'AI-powered live chat'; keep only if chat is built.</t>
        </is>
      </c>
      <c r="E4" s="11" t="inlineStr">
        <is>
          <t>Manuscript pass</t>
        </is>
      </c>
      <c r="F4" s="11" t="inlineStr">
        <is>
          <t>S</t>
        </is>
      </c>
      <c r="G4" s="11" t="inlineStr">
        <is>
          <t>High</t>
        </is>
      </c>
      <c r="H4" s="11" t="inlineStr"/>
      <c r="I4" s="11" t="inlineStr">
        <is>
          <t>None</t>
        </is>
      </c>
      <c r="J4" s="11" t="inlineStr"/>
      <c r="K4" s="11" t="inlineStr">
        <is>
          <t>Open</t>
        </is>
      </c>
    </row>
    <row r="5">
      <c r="A5" s="11" t="n">
        <v>4</v>
      </c>
      <c r="B5" s="11" t="inlineStr">
        <is>
          <t>System</t>
        </is>
      </c>
      <c r="C5" s="11" t="inlineStr">
        <is>
          <t>REQ066, Title, Obj. 2</t>
        </is>
      </c>
      <c r="D5" s="11" t="inlineStr">
        <is>
          <t>Near-expiry stock removed from sale by date on every sale/catalog load, not only when Inventory is opened</t>
        </is>
      </c>
      <c r="E5" s="11" t="inlineStr">
        <is>
          <t>Partial</t>
        </is>
      </c>
      <c r="F5" s="11" t="inlineStr">
        <is>
          <t>S</t>
        </is>
      </c>
      <c r="G5" s="11" t="inlineStr">
        <is>
          <t>High</t>
        </is>
      </c>
      <c r="H5" s="11" t="inlineStr">
        <is>
          <t>DONE e1e200b. Title feature.</t>
        </is>
      </c>
      <c r="I5" s="11" t="inlineStr">
        <is>
          <t>None</t>
        </is>
      </c>
      <c r="J5" s="11" t="inlineStr"/>
      <c r="K5" s="11" t="inlineStr">
        <is>
          <t>Done</t>
        </is>
      </c>
    </row>
    <row r="6">
      <c r="A6" s="11" t="n">
        <v>5</v>
      </c>
      <c r="B6" s="11" t="inlineStr">
        <is>
          <t>System</t>
        </is>
      </c>
      <c r="C6" s="11" t="inlineStr">
        <is>
          <t>REQ058, REQ111-115, REQNF020, Obj. 3</t>
        </is>
      </c>
      <c r="D6" s="11" t="inlineStr">
        <is>
          <t>Build the Reports module: daily sales (per customer, items with batch + expiry), monthly inventory + purchases (batch, expiry, date received, receipt no., supplier), pull-out, discrepancy; date range; PDF + Excel. Wire the 5 blank Export buttons to it.</t>
        </is>
      </c>
      <c r="E6" s="11" t="inlineStr">
        <is>
          <t>Partial</t>
        </is>
      </c>
      <c r="F6" s="11" t="inlineStr">
        <is>
          <t>L</t>
        </is>
      </c>
      <c r="G6" s="11" t="inlineStr">
        <is>
          <t>High</t>
        </is>
      </c>
      <c r="H6" s="11" t="inlineStr">
        <is>
          <t>PARTIAL aece0e7: all 6 Export buttons now produce real PDF/Excel tables of what's on screen; the client's 4 report formats are still to build. Client's one remaining ask (Interview 4). Build to the 4 client samples (see Report Formats sheet); Excel output must paste cleanly into the main office's own sheets (Interviews 1, 2, 4); daily sales should total by payment method to match the daily cash remittance (Interview 2).</t>
        </is>
      </c>
      <c r="I6" s="11" t="inlineStr">
        <is>
          <t>None</t>
        </is>
      </c>
      <c r="J6" s="11" t="inlineStr"/>
      <c r="K6" s="11" t="inlineStr">
        <is>
          <t>Open</t>
        </is>
      </c>
    </row>
    <row r="7">
      <c r="A7" s="11" t="n">
        <v>6</v>
      </c>
      <c r="B7" s="11" t="inlineStr">
        <is>
          <t>System</t>
        </is>
      </c>
      <c r="C7" s="11" t="inlineStr">
        <is>
          <t>REQ024-025, REQ077-081, C3</t>
        </is>
      </c>
      <c r="D7" s="11" t="inlineStr">
        <is>
          <t>Prescription verification: approve/reject with mandatory reason, 'Ready for pick-up' notification, record who verified, RX filter in the queue</t>
        </is>
      </c>
      <c r="E7" s="11" t="inlineStr">
        <is>
          <t>Partial</t>
        </is>
      </c>
      <c r="F7" s="11" t="inlineStr">
        <is>
          <t>M</t>
        </is>
      </c>
      <c r="G7" s="11" t="inlineStr">
        <is>
          <t>High</t>
        </is>
      </c>
      <c r="H7" s="11" t="inlineStr">
        <is>
          <t>DONE 082ec92: RX filter, Reject Prescription with reason (7-day re-upload hold), 'ready for pick-up' notice, verifier recorded + audit.</t>
        </is>
      </c>
      <c r="I7" s="11" t="inlineStr">
        <is>
          <t>None</t>
        </is>
      </c>
      <c r="J7" s="11" t="inlineStr"/>
      <c r="K7" s="11" t="inlineStr">
        <is>
          <t>Done</t>
        </is>
      </c>
    </row>
    <row r="8">
      <c r="A8" s="11" t="n">
        <v>7</v>
      </c>
      <c r="B8" s="11" t="inlineStr">
        <is>
          <t>System</t>
        </is>
      </c>
      <c r="C8" s="11" t="inlineStr">
        <is>
          <t>REQ034, REQ104-105</t>
        </is>
      </c>
      <c r="D8" s="11" t="inlineStr">
        <is>
          <t>Show the Lalamove tracking link to the customer on their order page</t>
        </is>
      </c>
      <c r="E8" s="11" t="inlineStr">
        <is>
          <t>Partial</t>
        </is>
      </c>
      <c r="F8" s="11" t="inlineStr">
        <is>
          <t>S</t>
        </is>
      </c>
      <c r="G8" s="11" t="inlineStr">
        <is>
          <t>High</t>
        </is>
      </c>
      <c r="H8" s="11" t="inlineStr">
        <is>
          <t>DONE customer order page shows a 'Track with Lalamove' card once dispatched.</t>
        </is>
      </c>
      <c r="I8" s="11" t="inlineStr">
        <is>
          <t>None</t>
        </is>
      </c>
      <c r="J8" s="11" t="inlineStr"/>
      <c r="K8" s="11" t="inlineStr">
        <is>
          <t>Done</t>
        </is>
      </c>
    </row>
    <row r="9">
      <c r="A9" s="11" t="n">
        <v>8</v>
      </c>
      <c r="B9" s="11" t="inlineStr">
        <is>
          <t>System</t>
        </is>
      </c>
      <c r="C9" s="11" t="inlineStr">
        <is>
          <t>REQ028</t>
        </is>
      </c>
      <c r="D9" s="11" t="inlineStr">
        <is>
          <t>Add the client's real QR PH image (assets/payment-qr.png)</t>
        </is>
      </c>
      <c r="E9" s="11" t="inlineStr">
        <is>
          <t>Partial</t>
        </is>
      </c>
      <c r="F9" s="11" t="inlineStr">
        <is>
          <t>S</t>
        </is>
      </c>
      <c r="G9" s="11" t="inlineStr">
        <is>
          <t>High</t>
        </is>
      </c>
      <c r="H9" s="11" t="inlineStr">
        <is>
          <t>Need the image from the client.</t>
        </is>
      </c>
      <c r="I9" s="11" t="inlineStr">
        <is>
          <t>None</t>
        </is>
      </c>
      <c r="J9" s="11" t="inlineStr"/>
      <c r="K9" s="11" t="inlineStr">
        <is>
          <t>Open</t>
        </is>
      </c>
    </row>
    <row r="10">
      <c r="A10" s="11" t="n">
        <v>9</v>
      </c>
      <c r="B10" s="11" t="inlineStr">
        <is>
          <t>System</t>
        </is>
      </c>
      <c r="C10" s="11" t="inlineStr">
        <is>
          <t>REQ010-011</t>
        </is>
      </c>
      <c r="D10" s="11" t="inlineStr">
        <is>
          <t>Wire product search (header box) + add price-range and stock-status filters</t>
        </is>
      </c>
      <c r="E10" s="11" t="inlineStr">
        <is>
          <t>Missing</t>
        </is>
      </c>
      <c r="F10" s="11" t="inlineStr">
        <is>
          <t>S</t>
        </is>
      </c>
      <c r="G10" s="11" t="inlineStr">
        <is>
          <t>High</t>
        </is>
      </c>
      <c r="H10" s="11" t="inlineStr">
        <is>
          <t>DONE header search on every shop page -&gt; catalog keyword search (name, generic, brand, description); price range + availability filters.</t>
        </is>
      </c>
      <c r="I10" s="11" t="inlineStr">
        <is>
          <t>None</t>
        </is>
      </c>
      <c r="J10" s="11" t="inlineStr"/>
      <c r="K10" s="11" t="inlineStr">
        <is>
          <t>Done</t>
        </is>
      </c>
    </row>
    <row r="11">
      <c r="A11" s="11" t="n">
        <v>10</v>
      </c>
      <c r="B11" s="11" t="inlineStr">
        <is>
          <t>System</t>
        </is>
      </c>
      <c r="C11" s="11" t="inlineStr">
        <is>
          <t>Purpose p.3; Interviews 1-2</t>
        </is>
      </c>
      <c r="D11" s="11" t="inlineStr">
        <is>
          <t>Stop calling system documents 'Official Receipt': relabel the online PDF (js/orders.js:263) and add 'This is not an official receipt' to all system receipts/invoices</t>
        </is>
      </c>
      <c r="E11" s="11" t="inlineStr">
        <is>
          <t>Bug</t>
        </is>
      </c>
      <c r="F11" s="11" t="inlineStr">
        <is>
          <t>S</t>
        </is>
      </c>
      <c r="G11" s="11" t="inlineStr">
        <is>
          <t>High</t>
        </is>
      </c>
      <c r="H11" s="11" t="inlineStr">
        <is>
          <t>DONE e1e200b. Client is not BIR-connected by choice and issues BIR/VAT receipts manually on request.</t>
        </is>
      </c>
      <c r="I11" s="11" t="inlineStr">
        <is>
          <t>None</t>
        </is>
      </c>
      <c r="J11" s="11" t="inlineStr"/>
      <c r="K11" s="11" t="inlineStr">
        <is>
          <t>Done</t>
        </is>
      </c>
    </row>
    <row r="12">
      <c r="A12" s="11" t="n">
        <v>11</v>
      </c>
      <c r="B12" s="11" t="inlineStr">
        <is>
          <t>System</t>
        </is>
      </c>
      <c r="C12" s="11" t="inlineStr">
        <is>
          <t>REQ006, REQNF025, Limitations p.7; Interviews 1-3</t>
        </is>
      </c>
      <c r="D12" s="11" t="inlineStr">
        <is>
          <t>Rewrite Terms &amp; Privacy to the client's actual policies: no refunds (exchange only), no cancellation after payment, 7-day hold then closure with credit kept, delivery fee and failed-delivery fees paid by the customer to the rider, RX pick-up only with original prescription, QR Ph only, Data Privacy Act 2012. Remove 'refunds case-by-case' and 'request deletion' (system only deactivates). Replace placeholder support@amson.ph with a real contact.</t>
        </is>
      </c>
      <c r="E12" s="11" t="inlineStr">
        <is>
          <t>Partial</t>
        </is>
      </c>
      <c r="F12" s="11" t="inlineStr">
        <is>
          <t>S</t>
        </is>
      </c>
      <c r="G12" s="11" t="inlineStr">
        <is>
          <t>High</t>
        </is>
      </c>
      <c r="H12" s="11" t="inlineStr">
        <is>
          <t>DONE js/legal-content.js used by the sign-up pop-up and new legal.html; written to the client's policies + Data Privacy Act. CLIENT MUST REVIEW before go-live. Panel may read the Terms during the demo.</t>
        </is>
      </c>
      <c r="I12" s="11" t="inlineStr">
        <is>
          <t>None</t>
        </is>
      </c>
      <c r="J12" s="11" t="inlineStr"/>
      <c r="K12" s="11" t="inlineStr">
        <is>
          <t>Done</t>
        </is>
      </c>
    </row>
    <row r="13">
      <c r="A13" s="11" t="n">
        <v>12</v>
      </c>
      <c r="B13" s="11" t="inlineStr">
        <is>
          <t>System</t>
        </is>
      </c>
      <c r="C13" s="11" t="inlineStr">
        <is>
          <t>Report Formats sheet; REQ111; Interviews 2, 4</t>
        </is>
      </c>
      <c r="D13" s="11" t="inlineStr">
        <is>
          <t>Record which batch (batch no. + expiry) each sold item came from, on every POS, online and wholesale sale</t>
        </is>
      </c>
      <c r="E13" s="11" t="inlineStr">
        <is>
          <t>Missing</t>
        </is>
      </c>
      <c r="F13" s="11" t="inlineStr">
        <is>
          <t>M</t>
        </is>
      </c>
      <c r="G13" s="11" t="inlineStr">
        <is>
          <t>High</t>
        </is>
      </c>
      <c r="H13" s="11" t="inlineStr">
        <is>
          <t>DONE e1e200b. Every client report lists batch + expiry per sold line; today FEFO deducts the right batch but the sale doesn't remember which. Blocks the Reports module.</t>
        </is>
      </c>
      <c r="I13" s="11" t="inlineStr">
        <is>
          <t>None</t>
        </is>
      </c>
      <c r="J13" s="11" t="inlineStr"/>
      <c r="K13" s="11" t="inlineStr">
        <is>
          <t>Done</t>
        </is>
      </c>
    </row>
    <row r="14">
      <c r="A14" s="11" t="n">
        <v>13</v>
      </c>
      <c r="B14" s="11" t="inlineStr">
        <is>
          <t>System</t>
        </is>
      </c>
      <c r="C14" s="11" t="inlineStr">
        <is>
          <t>Report Formats sheet (SI# 00008247...); Modules p.43</t>
        </is>
      </c>
      <c r="D14" s="11" t="inlineStr">
        <is>
          <t>One sequential Sales Invoice (SI#) number across walk-in, online and wholesale sales</t>
        </is>
      </c>
      <c r="E14" s="11" t="inlineStr">
        <is>
          <t>Missing</t>
        </is>
      </c>
      <c r="F14" s="11" t="inlineStr">
        <is>
          <t>S</t>
        </is>
      </c>
      <c r="G14" s="11" t="inlineStr">
        <is>
          <t>High</t>
        </is>
      </c>
      <c r="H14" s="11" t="inlineStr">
        <is>
          <t>DONE e1e200b. Replaces the separate 'receipt numbers' item; voids reference it.</t>
        </is>
      </c>
      <c r="I14" s="11" t="inlineStr">
        <is>
          <t>None</t>
        </is>
      </c>
      <c r="J14" s="11" t="inlineStr"/>
      <c r="K14" s="11" t="inlineStr">
        <is>
          <t>Done</t>
        </is>
      </c>
    </row>
    <row r="15">
      <c r="A15" s="11" t="n">
        <v>14</v>
      </c>
      <c r="B15" s="11" t="inlineStr">
        <is>
          <t>System</t>
        </is>
      </c>
      <c r="C15" s="11" t="inlineStr">
        <is>
          <t>Report Formats sheet (Payment Method section, Terms of Payment)</t>
        </is>
      </c>
      <c r="D15" s="11" t="inlineStr">
        <is>
          <t>Payment method + terms on every sale: Cash, G-Cash/QR Ph, Bank Transfer, Terminal (card), Credit (pay later); add to wholesale orders, which record none today</t>
        </is>
      </c>
      <c r="E15" s="11" t="inlineStr">
        <is>
          <t>Partial</t>
        </is>
      </c>
      <c r="F15" s="11" t="inlineStr">
        <is>
          <t>S</t>
        </is>
      </c>
      <c r="G15" s="11" t="inlineStr">
        <is>
          <t>High</t>
        </is>
      </c>
      <c r="H15" s="11" t="inlineStr">
        <is>
          <t>DONE e1e200b. Credit was ₱57,534 of ₱81,181 on the sample day.</t>
        </is>
      </c>
      <c r="I15" s="11" t="inlineStr">
        <is>
          <t>None</t>
        </is>
      </c>
      <c r="J15" s="11" t="inlineStr"/>
      <c r="K15" s="11" t="inlineStr">
        <is>
          <t>Done</t>
        </is>
      </c>
    </row>
    <row r="16">
      <c r="A16" s="11" t="n">
        <v>15</v>
      </c>
      <c r="B16" s="11" t="inlineStr">
        <is>
          <t>System + paper</t>
        </is>
      </c>
      <c r="C16" s="11" t="inlineStr">
        <is>
          <t>REQ083, REQ122, Fig 2.6, Fig 2.14, C4</t>
        </is>
      </c>
      <c r="D16" s="11" t="inlineStr">
        <is>
          <t>Walk-in void: reason, original receipt no., automatic stock restore, optional exchange item + price difference, audit entry; restricted to authorized role</t>
        </is>
      </c>
      <c r="E16" s="11" t="inlineStr">
        <is>
          <t>Missing</t>
        </is>
      </c>
      <c r="F16" s="11" t="inlineStr">
        <is>
          <t>M</t>
        </is>
      </c>
      <c r="G16" s="11" t="inlineStr">
        <is>
          <t>High</t>
        </is>
      </c>
      <c r="H16" s="11" t="inlineStr">
        <is>
          <t>DONE 57f4d80: BM/Technical void completed sales from POS Today's Sales or Walk-in Orders: reason, SI No., stock restored to the same batches, exchange note + price difference, audit entry. Still open: second-person approval (client rule) and exchange as a real stock movement. Client's #1 pain point (Interview 4). Client rules: a void needs a second authorized person, not one junior staff member alone; exchange item must be equal or higher value (customer pays the difference, never refunded); restored stock must show online too.</t>
        </is>
      </c>
      <c r="I16" s="11" t="inlineStr">
        <is>
          <t>Corrects / rewords</t>
        </is>
      </c>
      <c r="J16" s="11" t="inlineStr"/>
      <c r="K16" s="11" t="inlineStr">
        <is>
          <t>Done</t>
        </is>
      </c>
    </row>
    <row r="17">
      <c r="A17" s="11" t="n">
        <v>16</v>
      </c>
      <c r="B17" s="11" t="inlineStr">
        <is>
          <t>System + paper</t>
        </is>
      </c>
      <c r="C17" s="11" t="inlineStr">
        <is>
          <t>REQ098, REQ102, C2</t>
        </is>
      </c>
      <c r="D17" s="11" t="inlineStr">
        <is>
          <t>Fix overpayment approval: clear the old hold, send 'Payment confirmed' notification; reword REQ098</t>
        </is>
      </c>
      <c r="E17" s="11" t="inlineStr">
        <is>
          <t>Bug</t>
        </is>
      </c>
      <c r="F17" s="11" t="inlineStr">
        <is>
          <t>S</t>
        </is>
      </c>
      <c r="G17" s="11" t="inlineStr">
        <is>
          <t>High</t>
        </is>
      </c>
      <c r="H17" s="11" t="inlineStr">
        <is>
          <t>DONE e1e200b (system part; REQ098 paper wording still to do). From the first review.</t>
        </is>
      </c>
      <c r="I17" s="11" t="inlineStr">
        <is>
          <t>Corrects / rewords</t>
        </is>
      </c>
      <c r="J17" s="11" t="inlineStr"/>
      <c r="K17" s="11" t="inlineStr">
        <is>
          <t>Done</t>
        </is>
      </c>
    </row>
    <row r="18">
      <c r="A18" s="11" t="n">
        <v>17</v>
      </c>
      <c r="B18" s="11" t="inlineStr">
        <is>
          <t>System + paper</t>
        </is>
      </c>
      <c r="C18" s="11" t="inlineStr">
        <is>
          <t>REQ071, REQ073, REQ120, REQNF011, C8</t>
        </is>
      </c>
      <c r="D18" s="11" t="inlineStr">
        <is>
          <t>Price lock: only Branch Manager sets prices on create/import too; enforce in database rules; add a reason to each price change</t>
        </is>
      </c>
      <c r="E18" s="11" t="inlineStr">
        <is>
          <t>Partial</t>
        </is>
      </c>
      <c r="F18" s="11" t="inlineStr">
        <is>
          <t>S</t>
        </is>
      </c>
      <c r="G18" s="11" t="inlineStr">
        <is>
          <t>High</t>
        </is>
      </c>
      <c r="H18" s="11" t="inlineStr">
        <is>
          <t>DONE BM-only prices in the form, batch import and quick-add (others' products saved Inactive + 'Price pending'); reason required and logged; enforced in firestore.rules - PUBLISH THE RULES in the Firebase console.</t>
        </is>
      </c>
      <c r="I18" s="11" t="inlineStr">
        <is>
          <t>Corrects / rewords</t>
        </is>
      </c>
      <c r="J18" s="11" t="inlineStr"/>
      <c r="K18" s="11" t="inlineStr">
        <is>
          <t>Done</t>
        </is>
      </c>
    </row>
    <row r="19">
      <c r="A19" s="11" t="n">
        <v>18</v>
      </c>
      <c r="B19" s="11" t="inlineStr">
        <is>
          <t>Paper</t>
        </is>
      </c>
      <c r="C19" s="11" t="inlineStr">
        <is>
          <t>Removals (Letter) sheet</t>
        </is>
      </c>
      <c r="D19" s="11" t="inlineStr">
        <is>
          <t>Letter to the panel: OpenAI -&gt; Gemini (free), Firebase Storage -&gt; Cloudinary, DataTable -&gt; custom tables, password reset via Firebase Auth, overpayment approve-and-credit, corrections to scope/conceptual framework</t>
        </is>
      </c>
      <c r="E19" s="11" t="inlineStr">
        <is>
          <t>Paper</t>
        </is>
      </c>
      <c r="F19" s="11" t="inlineStr">
        <is>
          <t>S</t>
        </is>
      </c>
      <c r="G19" s="11" t="inlineStr">
        <is>
          <t>High</t>
        </is>
      </c>
      <c r="H19" s="11" t="inlineStr">
        <is>
          <t>One letter covers all remaining removals; send before the paper edits.</t>
        </is>
      </c>
      <c r="I19" s="12" t="inlineStr">
        <is>
          <t>REMOVES / narrows - see Removals (Letter)</t>
        </is>
      </c>
      <c r="J19" s="11" t="inlineStr"/>
      <c r="K19" s="11" t="inlineStr">
        <is>
          <t>Open</t>
        </is>
      </c>
    </row>
    <row r="20">
      <c r="A20" s="11" t="n">
        <v>19</v>
      </c>
      <c r="B20" s="11" t="inlineStr">
        <is>
          <t>Paper</t>
        </is>
      </c>
      <c r="C20" s="11" t="inlineStr">
        <is>
          <t>Objectives / evaluation (p.5-6, 21-24)</t>
        </is>
      </c>
      <c r="D20" s="11" t="inlineStr">
        <is>
          <t>Obj. 4 evaluates with TAM + ISO/IEC 25010, but there is no questionnaire, respondent group, sampling, scale, or statistical treatment yet. The final paper needs the instrument and a results chapter.</t>
        </is>
      </c>
      <c r="E20" s="11" t="inlineStr">
        <is>
          <t>Manuscript pass</t>
        </is>
      </c>
      <c r="F20" s="11" t="inlineStr">
        <is>
          <t>L</t>
        </is>
      </c>
      <c r="G20" s="11" t="inlineStr">
        <is>
          <t>High</t>
        </is>
      </c>
      <c r="H20" s="11" t="inlineStr"/>
      <c r="I20" s="11" t="inlineStr">
        <is>
          <t>Corrects / rewords</t>
        </is>
      </c>
      <c r="J20" s="11" t="inlineStr"/>
      <c r="K20" s="11" t="inlineStr">
        <is>
          <t>Open</t>
        </is>
      </c>
    </row>
    <row r="21">
      <c r="A21" s="11" t="n">
        <v>20</v>
      </c>
      <c r="B21" s="11" t="inlineStr">
        <is>
          <t>Decision</t>
        </is>
      </c>
      <c r="C21" s="11" t="inlineStr">
        <is>
          <t>REQ121</t>
        </is>
      </c>
      <c r="D21" s="11" t="inlineStr">
        <is>
          <t>Sales Staff access: trim to POS + catalog view, or reword REQ121</t>
        </is>
      </c>
      <c r="E21" s="11" t="inlineStr">
        <is>
          <t>Deviates</t>
        </is>
      </c>
      <c r="F21" s="11" t="inlineStr">
        <is>
          <t>S</t>
        </is>
      </c>
      <c r="G21" s="11" t="inlineStr">
        <is>
          <t>Med</t>
        </is>
      </c>
      <c r="H21" s="11" t="inlineStr">
        <is>
          <t>DONE 57f4d80: POS (with Today's Sales) + read-only catalog; lands on POS after login. Orders access was added on purpose on 2026-10-01.</t>
        </is>
      </c>
      <c r="I21" s="11" t="inlineStr">
        <is>
          <t>None</t>
        </is>
      </c>
      <c r="J21" s="11" t="inlineStr"/>
      <c r="K21" s="11" t="inlineStr">
        <is>
          <t>Done</t>
        </is>
      </c>
    </row>
    <row r="22">
      <c r="A22" s="11" t="n">
        <v>21</v>
      </c>
      <c r="B22" s="11" t="inlineStr">
        <is>
          <t>System</t>
        </is>
      </c>
      <c r="C22" s="11" t="inlineStr">
        <is>
          <t>REQNF005</t>
        </is>
      </c>
      <c r="D22" s="11" t="inlineStr">
        <is>
          <t>Live updates without refresh on all order and inventory screens (staff + customer)</t>
        </is>
      </c>
      <c r="E22" s="11" t="inlineStr">
        <is>
          <t>Deviates</t>
        </is>
      </c>
      <c r="F22" s="11" t="inlineStr">
        <is>
          <t>M</t>
        </is>
      </c>
      <c r="G22" s="11" t="inlineStr">
        <is>
          <t>Med</t>
        </is>
      </c>
      <c r="H22" s="11" t="inlineStr">
        <is>
          <t>DECIDED (revised): build everywhere to avoid a removal letter.</t>
        </is>
      </c>
      <c r="I22" s="12" t="inlineStr">
        <is>
          <t>REMOVES / narrows - see Removals (Letter)</t>
        </is>
      </c>
      <c r="J22" s="11" t="inlineStr"/>
      <c r="K22" s="11" t="inlineStr">
        <is>
          <t>Open</t>
        </is>
      </c>
    </row>
    <row r="23">
      <c r="A23" s="11" t="n">
        <v>22</v>
      </c>
      <c r="B23" s="11" t="inlineStr">
        <is>
          <t>System</t>
        </is>
      </c>
      <c r="C23" s="11" t="inlineStr">
        <is>
          <t>REQNF010, REQNF013</t>
        </is>
      </c>
      <c r="D23" s="11" t="inlineStr">
        <is>
          <t>Deployment: Firebase Hosting (HTTPS) or move hosting to Limitations</t>
        </is>
      </c>
      <c r="E23" s="11" t="inlineStr">
        <is>
          <t>Missing</t>
        </is>
      </c>
      <c r="F23" s="11" t="inlineStr">
        <is>
          <t>S</t>
        </is>
      </c>
      <c r="G23" s="11" t="inlineStr">
        <is>
          <t>Med</t>
        </is>
      </c>
      <c r="H23" s="11" t="inlineStr">
        <is>
          <t>DECIDED: Netlify (already set up).</t>
        </is>
      </c>
      <c r="I23" s="11" t="inlineStr">
        <is>
          <t>None</t>
        </is>
      </c>
      <c r="J23" s="11" t="inlineStr"/>
      <c r="K23" s="11" t="inlineStr">
        <is>
          <t>Open</t>
        </is>
      </c>
    </row>
    <row r="24">
      <c r="A24" s="11" t="n">
        <v>23</v>
      </c>
      <c r="B24" s="11" t="inlineStr">
        <is>
          <t>System</t>
        </is>
      </c>
      <c r="C24" s="11" t="inlineStr">
        <is>
          <t>Report Formats sheet (Discount/Deductions columns); Interview 2</t>
        </is>
      </c>
      <c r="D24" s="11" t="inlineStr">
        <is>
          <t>Discount / deduction per sale or line, with reason and audit entry</t>
        </is>
      </c>
      <c r="E24" s="11" t="inlineStr">
        <is>
          <t>Missing</t>
        </is>
      </c>
      <c r="F24" s="11" t="inlineStr">
        <is>
          <t>M</t>
        </is>
      </c>
      <c r="G24" s="11" t="inlineStr">
        <is>
          <t>Med</t>
        </is>
      </c>
      <c r="H24" s="11" t="inlineStr">
        <is>
          <t>Client confirmed: no discounts. Not in the paper; client gives boss-approved discounts today.</t>
        </is>
      </c>
      <c r="I24" s="11" t="inlineStr">
        <is>
          <t>None (not in paper)</t>
        </is>
      </c>
      <c r="J24" s="11" t="inlineStr"/>
      <c r="K24" s="11" t="inlineStr">
        <is>
          <t>Dropped</t>
        </is>
      </c>
    </row>
    <row r="25">
      <c r="A25" s="11" t="n">
        <v>24</v>
      </c>
      <c r="B25" s="11" t="inlineStr">
        <is>
          <t>System</t>
        </is>
      </c>
      <c r="C25" s="11" t="inlineStr">
        <is>
          <t>Methodology p.30 ('actual client data'); Report Formats sheet</t>
        </is>
      </c>
      <c r="D25" s="11" t="inlineStr">
        <is>
          <t>Load the client's real March-end catalog (prices, batches, expiry) from their workbook via the existing upload templates</t>
        </is>
      </c>
      <c r="E25" s="11" t="inlineStr">
        <is>
          <t>Missing</t>
        </is>
      </c>
      <c r="F25" s="11" t="inlineStr">
        <is>
          <t>M</t>
        </is>
      </c>
      <c r="G25" s="11" t="inlineStr">
        <is>
          <t>Med</t>
        </is>
      </c>
      <c r="H25" s="11" t="inlineStr">
        <is>
          <t>DECIDED: yes, once the client sends the catalog. Makes the demo and the TAM evaluation realistic; check confidentiality with the client first.</t>
        </is>
      </c>
      <c r="I25" s="11" t="inlineStr">
        <is>
          <t>None</t>
        </is>
      </c>
      <c r="J25" s="11" t="inlineStr"/>
      <c r="K25" s="11" t="inlineStr">
        <is>
          <t>Blocked</t>
        </is>
      </c>
    </row>
    <row r="26">
      <c r="A26" s="11" t="n">
        <v>25</v>
      </c>
      <c r="B26" s="11" t="inlineStr">
        <is>
          <t>Decision</t>
        </is>
      </c>
      <c r="C26" s="11" t="inlineStr">
        <is>
          <t>Limitations (p.7)</t>
        </is>
      </c>
      <c r="D26" s="11" t="inlineStr">
        <is>
          <t>'Retail item exchanges ... coordinated through live chat': if chat is cut, change this to phone/Messenger.</t>
        </is>
      </c>
      <c r="E26" s="11" t="inlineStr">
        <is>
          <t>Manuscript pass</t>
        </is>
      </c>
      <c r="F26" s="11" t="inlineStr">
        <is>
          <t>S</t>
        </is>
      </c>
      <c r="G26" s="11" t="inlineStr">
        <is>
          <t>Med</t>
        </is>
      </c>
      <c r="H26" s="11" t="inlineStr"/>
      <c r="I26" s="11" t="inlineStr">
        <is>
          <t>None</t>
        </is>
      </c>
      <c r="J26" s="11" t="inlineStr"/>
      <c r="K26" s="11" t="inlineStr">
        <is>
          <t>Open</t>
        </is>
      </c>
    </row>
    <row r="27">
      <c r="A27" s="11" t="n">
        <v>26</v>
      </c>
      <c r="B27" s="11" t="inlineStr">
        <is>
          <t>Decision</t>
        </is>
      </c>
      <c r="C27" s="11" t="inlineStr">
        <is>
          <t>Limitations (p.7)</t>
        </is>
      </c>
      <c r="D27" s="11" t="inlineStr">
        <is>
          <t>Add new limitations if decided: hosting/deployment, live chat/AI, real-time refresh, OpenAI cost.</t>
        </is>
      </c>
      <c r="E27" s="11" t="inlineStr">
        <is>
          <t>Manuscript pass</t>
        </is>
      </c>
      <c r="F27" s="11" t="inlineStr">
        <is>
          <t>S</t>
        </is>
      </c>
      <c r="G27" s="11" t="inlineStr">
        <is>
          <t>Med</t>
        </is>
      </c>
      <c r="H27" s="11" t="inlineStr"/>
      <c r="I27" s="11" t="inlineStr">
        <is>
          <t>None</t>
        </is>
      </c>
      <c r="J27" s="11" t="inlineStr"/>
      <c r="K27" s="11" t="inlineStr">
        <is>
          <t>Open</t>
        </is>
      </c>
    </row>
    <row r="28">
      <c r="A28" s="11" t="n">
        <v>27</v>
      </c>
      <c r="B28" s="11" t="inlineStr">
        <is>
          <t>Decision</t>
        </is>
      </c>
      <c r="C28" s="11" t="inlineStr">
        <is>
          <t>Technical Background (p.35, 37)</t>
        </is>
      </c>
      <c r="D28" s="11" t="inlineStr">
        <is>
          <t>Netlify listed for hosting with continuous integration; nothing is deployed (Netlify blocked by billing). Depends on the hosting decision.</t>
        </is>
      </c>
      <c r="E28" s="11" t="inlineStr">
        <is>
          <t>Manuscript pass</t>
        </is>
      </c>
      <c r="F28" s="11" t="inlineStr">
        <is>
          <t>S</t>
        </is>
      </c>
      <c r="G28" s="11" t="inlineStr">
        <is>
          <t>Med</t>
        </is>
      </c>
      <c r="H28" s="11" t="inlineStr"/>
      <c r="I28" s="11" t="inlineStr">
        <is>
          <t>None</t>
        </is>
      </c>
      <c r="J28" s="11" t="inlineStr"/>
      <c r="K28" s="11" t="inlineStr">
        <is>
          <t>Open</t>
        </is>
      </c>
    </row>
    <row r="29">
      <c r="A29" s="11" t="n">
        <v>28</v>
      </c>
      <c r="B29" s="11" t="inlineStr">
        <is>
          <t>System</t>
        </is>
      </c>
      <c r="C29" s="11" t="inlineStr">
        <is>
          <t>-</t>
        </is>
      </c>
      <c r="D29" s="11" t="inlineStr">
        <is>
          <t>Remove or lock the Migrate Credit page (re-running it re-grants spent credit)</t>
        </is>
      </c>
      <c r="E29" s="11" t="inlineStr">
        <is>
          <t>Bug</t>
        </is>
      </c>
      <c r="F29" s="11" t="inlineStr">
        <is>
          <t>S</t>
        </is>
      </c>
      <c r="G29" s="11" t="inlineStr">
        <is>
          <t>Med</t>
        </is>
      </c>
      <c r="H29" s="11" t="inlineStr">
        <is>
          <t>DONE d9fc96b: locks itself after one run; SI counter now staff-only in rules (publish rules). From the first review.</t>
        </is>
      </c>
      <c r="I29" s="11" t="inlineStr">
        <is>
          <t>None</t>
        </is>
      </c>
      <c r="J29" s="11" t="inlineStr"/>
      <c r="K29" s="11" t="inlineStr">
        <is>
          <t>Done</t>
        </is>
      </c>
    </row>
    <row r="30">
      <c r="A30" s="11" t="n">
        <v>29</v>
      </c>
      <c r="B30" s="11" t="inlineStr">
        <is>
          <t>System</t>
        </is>
      </c>
      <c r="C30" s="11" t="inlineStr">
        <is>
          <t>REQ002</t>
        </is>
      </c>
      <c r="D30" s="11" t="inlineStr">
        <is>
          <t>Close the email-verification bypass (code readable by customer; customer can set emailVerified)</t>
        </is>
      </c>
      <c r="E30" s="11" t="inlineStr">
        <is>
          <t>Bug</t>
        </is>
      </c>
      <c r="F30" s="11" t="inlineStr">
        <is>
          <t>S</t>
        </is>
      </c>
      <c r="G30" s="11" t="inlineStr">
        <is>
          <t>Med</t>
        </is>
      </c>
      <c r="H30" s="11" t="inlineStr">
        <is>
          <t>From the first review.</t>
        </is>
      </c>
      <c r="I30" s="11" t="inlineStr">
        <is>
          <t>None</t>
        </is>
      </c>
      <c r="J30" s="11" t="inlineStr"/>
      <c r="K30" s="11" t="inlineStr">
        <is>
          <t>Open</t>
        </is>
      </c>
    </row>
    <row r="31">
      <c r="A31" s="11" t="n">
        <v>30</v>
      </c>
      <c r="B31" s="11" t="inlineStr">
        <is>
          <t>System</t>
        </is>
      </c>
      <c r="C31" s="11" t="inlineStr">
        <is>
          <t>REQ005, REQ044, Fig 2.3, Fig 2.8</t>
        </is>
      </c>
      <c r="D31" s="11" t="inlineStr">
        <is>
          <t>Unrecognized-device OTP for customers and staff</t>
        </is>
      </c>
      <c r="E31" s="11" t="inlineStr">
        <is>
          <t>Missing</t>
        </is>
      </c>
      <c r="F31" s="11" t="inlineStr">
        <is>
          <t>M</t>
        </is>
      </c>
      <c r="G31" s="11" t="inlineStr">
        <is>
          <t>Med</t>
        </is>
      </c>
      <c r="H31" s="11" t="inlineStr"/>
      <c r="I31" s="11" t="inlineStr">
        <is>
          <t>None</t>
        </is>
      </c>
      <c r="J31" s="11" t="inlineStr"/>
      <c r="K31" s="11" t="inlineStr">
        <is>
          <t>Open</t>
        </is>
      </c>
    </row>
    <row r="32">
      <c r="A32" s="11" t="n">
        <v>31</v>
      </c>
      <c r="B32" s="11" t="inlineStr">
        <is>
          <t>System</t>
        </is>
      </c>
      <c r="C32" s="11" t="inlineStr">
        <is>
          <t>REQ086, REQ089, REQ091, REQ092</t>
        </is>
      </c>
      <c r="D32" s="11" t="inlineStr">
        <is>
          <t>Wholesale: purchase history per account (with reorder from a past order), wholesale sales invoice, free-of-cost option with reason, document expiry dates</t>
        </is>
      </c>
      <c r="E32" s="11" t="inlineStr">
        <is>
          <t>Partial</t>
        </is>
      </c>
      <c r="F32" s="11" t="inlineStr">
        <is>
          <t>M</t>
        </is>
      </c>
      <c r="G32" s="11" t="inlineStr">
        <is>
          <t>Med</t>
        </is>
      </c>
      <c r="H32" s="11" t="inlineStr">
        <is>
          <t>DONE 5cad255: history, sales invoice PDF, free-of-cost, LTO/permit validity. Not built: reorder from a past order. Interview 1: free RX goods go only to medical doctors/hospitals; vitamins open to all. Interview 2: reorder what they bought weeks ago.</t>
        </is>
      </c>
      <c r="I32" s="11" t="inlineStr">
        <is>
          <t>None</t>
        </is>
      </c>
      <c r="J32" s="11" t="inlineStr"/>
      <c r="K32" s="11" t="inlineStr">
        <is>
          <t>Done</t>
        </is>
      </c>
    </row>
    <row r="33">
      <c r="A33" s="11" t="n">
        <v>32</v>
      </c>
      <c r="B33" s="11" t="inlineStr">
        <is>
          <t>System</t>
        </is>
      </c>
      <c r="C33" s="11" t="inlineStr">
        <is>
          <t>REQ090, REQ114, Fig 2.15</t>
        </is>
      </c>
      <c r="D33" s="11" t="inlineStr">
        <is>
          <t>Wholesale exchange workflow (return + FEFO replacement + audit + exchange document)</t>
        </is>
      </c>
      <c r="E33" s="11" t="inlineStr">
        <is>
          <t>Missing</t>
        </is>
      </c>
      <c r="F33" s="11" t="inlineStr">
        <is>
          <t>M</t>
        </is>
      </c>
      <c r="G33" s="11" t="inlineStr">
        <is>
          <t>Med</t>
        </is>
      </c>
      <c r="H33" s="11" t="inlineStr"/>
      <c r="I33" s="11" t="inlineStr">
        <is>
          <t>None</t>
        </is>
      </c>
      <c r="J33" s="11" t="inlineStr"/>
      <c r="K33" s="11" t="inlineStr">
        <is>
          <t>Open</t>
        </is>
      </c>
    </row>
    <row r="34">
      <c r="A34" s="11" t="n">
        <v>33</v>
      </c>
      <c r="B34" s="11" t="inlineStr">
        <is>
          <t>System</t>
        </is>
      </c>
      <c r="C34" s="11" t="inlineStr">
        <is>
          <t>REQ067, C7</t>
        </is>
      </c>
      <c r="D34" s="11" t="inlineStr">
        <is>
          <t>2-month Bad Order: auto-flag, disposal alert, auto-deduct with write-off record</t>
        </is>
      </c>
      <c r="E34" s="11" t="inlineStr">
        <is>
          <t>Missing</t>
        </is>
      </c>
      <c r="F34" s="11" t="inlineStr">
        <is>
          <t>M</t>
        </is>
      </c>
      <c r="G34" s="11" t="inlineStr">
        <is>
          <t>Med</t>
        </is>
      </c>
      <c r="H34" s="11" t="inlineStr"/>
      <c r="I34" s="11" t="inlineStr">
        <is>
          <t>None</t>
        </is>
      </c>
      <c r="J34" s="11" t="inlineStr"/>
      <c r="K34" s="11" t="inlineStr">
        <is>
          <t>Open</t>
        </is>
      </c>
    </row>
    <row r="35">
      <c r="A35" s="11" t="n">
        <v>34</v>
      </c>
      <c r="B35" s="11" t="inlineStr">
        <is>
          <t>System</t>
        </is>
      </c>
      <c r="C35" s="11" t="inlineStr">
        <is>
          <t>Fig 2.6 Print Transaction Receipt, Modules p.44</t>
        </is>
      </c>
      <c r="D35" s="11" t="inlineStr">
        <is>
          <t>Receipt printing (thermal 58mm print layout) for POS sales</t>
        </is>
      </c>
      <c r="E35" s="11" t="inlineStr">
        <is>
          <t>Missing</t>
        </is>
      </c>
      <c r="F35" s="11" t="inlineStr">
        <is>
          <t>S</t>
        </is>
      </c>
      <c r="G35" s="11" t="inlineStr">
        <is>
          <t>Med</t>
        </is>
      </c>
      <c r="H35" s="11" t="inlineStr">
        <is>
          <t>DONE 57f4d80: Print button on every POS receipt; 58mm print layout. The 'not an official receipt' line was removed from POS and online receipts on 2026-10-21 at the team's request.</t>
        </is>
      </c>
      <c r="I35" s="11" t="inlineStr">
        <is>
          <t>None</t>
        </is>
      </c>
      <c r="J35" s="11" t="inlineStr"/>
      <c r="K35" s="11" t="inlineStr">
        <is>
          <t>Done</t>
        </is>
      </c>
    </row>
    <row r="36">
      <c r="A36" s="11" t="n">
        <v>35</v>
      </c>
      <c r="B36" s="11" t="inlineStr">
        <is>
          <t>System</t>
        </is>
      </c>
      <c r="C36" s="11" t="inlineStr">
        <is>
          <t>REQ084</t>
        </is>
      </c>
      <c r="D36" s="11" t="inlineStr">
        <is>
          <t>POS: RX Verified checkbox + optional notes</t>
        </is>
      </c>
      <c r="E36" s="11" t="inlineStr">
        <is>
          <t>Missing</t>
        </is>
      </c>
      <c r="F36" s="11" t="inlineStr">
        <is>
          <t>S</t>
        </is>
      </c>
      <c r="G36" s="11" t="inlineStr">
        <is>
          <t>Med</t>
        </is>
      </c>
      <c r="H36" s="11" t="inlineStr">
        <is>
          <t>DONE 57f4d80: checkbox + notes, required for RX items, saved on the sale.</t>
        </is>
      </c>
      <c r="I36" s="11" t="inlineStr">
        <is>
          <t>None</t>
        </is>
      </c>
      <c r="J36" s="11" t="inlineStr"/>
      <c r="K36" s="11" t="inlineStr">
        <is>
          <t>Done</t>
        </is>
      </c>
    </row>
    <row r="37">
      <c r="A37" s="11" t="n">
        <v>36</v>
      </c>
      <c r="B37" s="11" t="inlineStr">
        <is>
          <t>System</t>
        </is>
      </c>
      <c r="C37" s="11" t="inlineStr">
        <is>
          <t>REQ061, C5</t>
        </is>
      </c>
      <c r="D37" s="11" t="inlineStr">
        <is>
          <t>Reconciliation: Branch Manager-only finalize + variance reason in audit log</t>
        </is>
      </c>
      <c r="E37" s="11" t="inlineStr">
        <is>
          <t>Partial</t>
        </is>
      </c>
      <c r="F37" s="11" t="inlineStr">
        <is>
          <t>S</t>
        </is>
      </c>
      <c r="G37" s="11" t="inlineStr">
        <is>
          <t>Med</t>
        </is>
      </c>
      <c r="H37" s="11" t="inlineStr">
        <is>
          <t>DONE 06574da: others save counts; BM finalizes; variance reason required and logged.</t>
        </is>
      </c>
      <c r="I37" s="11" t="inlineStr">
        <is>
          <t>None</t>
        </is>
      </c>
      <c r="J37" s="11" t="inlineStr"/>
      <c r="K37" s="11" t="inlineStr">
        <is>
          <t>Done</t>
        </is>
      </c>
    </row>
    <row r="38">
      <c r="A38" s="11" t="n">
        <v>37</v>
      </c>
      <c r="B38" s="11" t="inlineStr">
        <is>
          <t>System</t>
        </is>
      </c>
      <c r="C38" s="11" t="inlineStr">
        <is>
          <t>REQNF025, REQNF029</t>
        </is>
      </c>
      <c r="D38" s="11" t="inlineStr">
        <is>
          <t>Remove dead links and filler: Live Chat sidebar link, chat buttons, footer sample text, footer Privacy/Terms links</t>
        </is>
      </c>
      <c r="E38" s="11" t="inlineStr">
        <is>
          <t>Polish</t>
        </is>
      </c>
      <c r="F38" s="11" t="inlineStr">
        <is>
          <t>S</t>
        </is>
      </c>
      <c r="G38" s="11" t="inlineStr">
        <is>
          <t>Med</t>
        </is>
      </c>
      <c r="H38" s="11" t="inlineStr">
        <is>
          <t>DONE footer rebuilt from js/store-info.js (real About text, links to legal.html; contact/LTO lines hidden until the client confirms them); chat links hidden until chat is built; payment page Terms link fixed. From the first review.</t>
        </is>
      </c>
      <c r="I38" s="11" t="inlineStr">
        <is>
          <t>None</t>
        </is>
      </c>
      <c r="J38" s="11" t="inlineStr"/>
      <c r="K38" s="11" t="inlineStr">
        <is>
          <t>Done</t>
        </is>
      </c>
    </row>
    <row r="39">
      <c r="A39" s="11" t="n">
        <v>38</v>
      </c>
      <c r="B39" s="11" t="inlineStr">
        <is>
          <t>System</t>
        </is>
      </c>
      <c r="C39" s="11" t="inlineStr">
        <is>
          <t>REQ039, REQ042</t>
        </is>
      </c>
      <c r="D39" s="11" t="inlineStr">
        <is>
          <t>Email notifications for key order events + on/off toggle in Account Settings</t>
        </is>
      </c>
      <c r="E39" s="11" t="inlineStr">
        <is>
          <t>Partial</t>
        </is>
      </c>
      <c r="F39" s="11" t="inlineStr">
        <is>
          <t>M</t>
        </is>
      </c>
      <c r="G39" s="11" t="inlineStr">
        <is>
          <t>Med</t>
        </is>
      </c>
      <c r="H39" s="11" t="inlineStr">
        <is>
          <t>EmailJS free tier: 200/month.</t>
        </is>
      </c>
      <c r="I39" s="11" t="inlineStr">
        <is>
          <t>None</t>
        </is>
      </c>
      <c r="J39" s="11" t="inlineStr"/>
      <c r="K39" s="11" t="inlineStr">
        <is>
          <t>Open</t>
        </is>
      </c>
    </row>
    <row r="40">
      <c r="A40" s="11" t="n">
        <v>39</v>
      </c>
      <c r="B40" s="11" t="inlineStr">
        <is>
          <t>System</t>
        </is>
      </c>
      <c r="C40" s="11" t="inlineStr">
        <is>
          <t>REQ122</t>
        </is>
      </c>
      <c r="D40" s="11" t="inlineStr">
        <is>
          <t>Audit log completeness: structured before/after, reasons, more events (receiving, PO, product create/delete, RX verification)</t>
        </is>
      </c>
      <c r="E40" s="11" t="inlineStr">
        <is>
          <t>Partial</t>
        </is>
      </c>
      <c r="F40" s="11" t="inlineStr">
        <is>
          <t>M</t>
        </is>
      </c>
      <c r="G40" s="11" t="inlineStr">
        <is>
          <t>Med</t>
        </is>
      </c>
      <c r="H40" s="11" t="inlineStr"/>
      <c r="I40" s="11" t="inlineStr">
        <is>
          <t>None</t>
        </is>
      </c>
      <c r="J40" s="11" t="inlineStr"/>
      <c r="K40" s="11" t="inlineStr">
        <is>
          <t>Open</t>
        </is>
      </c>
    </row>
    <row r="41">
      <c r="A41" s="11" t="n">
        <v>40</v>
      </c>
      <c r="B41" s="11" t="inlineStr">
        <is>
          <t>System</t>
        </is>
      </c>
      <c r="C41" s="11" t="inlineStr">
        <is>
          <t>REQ014</t>
        </is>
      </c>
      <c r="D41" s="11" t="inlineStr">
        <is>
          <t>Save cart to the customer's account</t>
        </is>
      </c>
      <c r="E41" s="11" t="inlineStr">
        <is>
          <t>Deviates</t>
        </is>
      </c>
      <c r="F41" s="11" t="inlineStr">
        <is>
          <t>S</t>
        </is>
      </c>
      <c r="G41" s="11" t="inlineStr">
        <is>
          <t>Med</t>
        </is>
      </c>
      <c r="H41" s="11" t="inlineStr">
        <is>
          <t>DONE 77336f3.</t>
        </is>
      </c>
      <c r="I41" s="11" t="inlineStr">
        <is>
          <t>None</t>
        </is>
      </c>
      <c r="J41" s="11" t="inlineStr"/>
      <c r="K41" s="11" t="inlineStr">
        <is>
          <t>Done</t>
        </is>
      </c>
    </row>
    <row r="42">
      <c r="A42" s="11" t="n">
        <v>41</v>
      </c>
      <c r="B42" s="11" t="inlineStr">
        <is>
          <t>System</t>
        </is>
      </c>
      <c r="C42" s="11" t="inlineStr">
        <is>
          <t>REQNF003, REQNF007</t>
        </is>
      </c>
      <c r="D42" s="11" t="inlineStr">
        <is>
          <t>Phone/tablet and cross-browser test pass</t>
        </is>
      </c>
      <c r="E42" s="11" t="inlineStr">
        <is>
          <t>Not verified</t>
        </is>
      </c>
      <c r="F42" s="11" t="inlineStr">
        <is>
          <t>S</t>
        </is>
      </c>
      <c r="G42" s="11" t="inlineStr">
        <is>
          <t>Med</t>
        </is>
      </c>
      <c r="H42" s="11" t="inlineStr"/>
      <c r="I42" s="11" t="inlineStr">
        <is>
          <t>None</t>
        </is>
      </c>
      <c r="J42" s="11" t="inlineStr"/>
      <c r="K42" s="11" t="inlineStr">
        <is>
          <t>Open</t>
        </is>
      </c>
    </row>
    <row r="43">
      <c r="A43" s="11" t="n">
        <v>42</v>
      </c>
      <c r="B43" s="11" t="inlineStr">
        <is>
          <t>System</t>
        </is>
      </c>
      <c r="C43" s="11" t="inlineStr">
        <is>
          <t>Interviews 2, 4</t>
        </is>
      </c>
      <c r="D43" s="11" t="inlineStr">
        <is>
          <t>Supplier receipt / DR number field on Receive Stock and PO receiving</t>
        </is>
      </c>
      <c r="E43" s="11" t="inlineStr">
        <is>
          <t>Missing</t>
        </is>
      </c>
      <c r="F43" s="11" t="inlineStr">
        <is>
          <t>S</t>
        </is>
      </c>
      <c r="G43" s="11" t="inlineStr">
        <is>
          <t>Med</t>
        </is>
      </c>
      <c r="H43" s="11" t="inlineStr">
        <is>
          <t>DONE e1e200b. Required column in the monthly purchases report.</t>
        </is>
      </c>
      <c r="I43" s="11" t="inlineStr">
        <is>
          <t>None</t>
        </is>
      </c>
      <c r="J43" s="11" t="inlineStr"/>
      <c r="K43" s="11" t="inlineStr">
        <is>
          <t>Done</t>
        </is>
      </c>
    </row>
    <row r="44">
      <c r="A44" s="11" t="n">
        <v>43</v>
      </c>
      <c r="B44" s="11" t="inlineStr">
        <is>
          <t>System</t>
        </is>
      </c>
      <c r="C44" s="11" t="inlineStr">
        <is>
          <t>Interview 4 walkthrough</t>
        </is>
      </c>
      <c r="D44" s="11" t="inlineStr">
        <is>
          <t>Supplier history: everything received from each supplier</t>
        </is>
      </c>
      <c r="E44" s="11" t="inlineStr">
        <is>
          <t>Missing</t>
        </is>
      </c>
      <c r="F44" s="11" t="inlineStr">
        <is>
          <t>S</t>
        </is>
      </c>
      <c r="G44" s="11" t="inlineStr">
        <is>
          <t>Med</t>
        </is>
      </c>
      <c r="H44" s="11" t="inlineStr">
        <is>
          <t>Shown to the client during the prototype walkthrough.</t>
        </is>
      </c>
      <c r="I44" s="11" t="inlineStr">
        <is>
          <t>None</t>
        </is>
      </c>
      <c r="J44" s="11" t="inlineStr"/>
      <c r="K44" s="11" t="inlineStr">
        <is>
          <t>Open</t>
        </is>
      </c>
    </row>
    <row r="45">
      <c r="A45" s="11" t="n">
        <v>44</v>
      </c>
      <c r="B45" s="11" t="inlineStr">
        <is>
          <t>System</t>
        </is>
      </c>
      <c r="C45" s="11" t="inlineStr">
        <is>
          <t>Methodology p.30; Interview 4</t>
        </is>
      </c>
      <c r="D45" s="11" t="inlineStr">
        <is>
          <t>User manual + hands-on training + handover to the branch</t>
        </is>
      </c>
      <c r="E45" s="11" t="inlineStr">
        <is>
          <t>Missing</t>
        </is>
      </c>
      <c r="F45" s="11" t="inlineStr">
        <is>
          <t>M</t>
        </is>
      </c>
      <c r="G45" s="11" t="inlineStr">
        <is>
          <t>Med</t>
        </is>
      </c>
      <c r="H45" s="11" t="inlineStr">
        <is>
          <t>Client: 'kailangan pa namin gamayin, i-hands on pa namin to'.</t>
        </is>
      </c>
      <c r="I45" s="11" t="inlineStr">
        <is>
          <t>None</t>
        </is>
      </c>
      <c r="J45" s="11" t="inlineStr"/>
      <c r="K45" s="11" t="inlineStr">
        <is>
          <t>Open</t>
        </is>
      </c>
    </row>
    <row r="46">
      <c r="A46" s="11" t="n">
        <v>45</v>
      </c>
      <c r="B46" s="11" t="inlineStr">
        <is>
          <t>System</t>
        </is>
      </c>
      <c r="C46" s="11" t="inlineStr">
        <is>
          <t>Report Formats sheet (Customer File shows named walk-ins, e.g. EMPLOYEE)</t>
        </is>
      </c>
      <c r="D46" s="11" t="inlineStr">
        <is>
          <t>Optional customer name on walk-in sales (default 'Walk-in')</t>
        </is>
      </c>
      <c r="E46" s="11" t="inlineStr">
        <is>
          <t>Missing</t>
        </is>
      </c>
      <c r="F46" s="11" t="inlineStr">
        <is>
          <t>S</t>
        </is>
      </c>
      <c r="G46" s="11" t="inlineStr">
        <is>
          <t>Med</t>
        </is>
      </c>
      <c r="H46" s="11" t="inlineStr">
        <is>
          <t>DONE e1e200b. Customer File groups every sale by customer name.</t>
        </is>
      </c>
      <c r="I46" s="11" t="inlineStr">
        <is>
          <t>None</t>
        </is>
      </c>
      <c r="J46" s="11" t="inlineStr"/>
      <c r="K46" s="11" t="inlineStr">
        <is>
          <t>Done</t>
        </is>
      </c>
    </row>
    <row r="47">
      <c r="A47" s="11" t="n">
        <v>46</v>
      </c>
      <c r="B47" s="11" t="inlineStr">
        <is>
          <t>System</t>
        </is>
      </c>
      <c r="C47" s="11" t="inlineStr">
        <is>
          <t>Report Formats sheet (Supplier sheets)</t>
        </is>
      </c>
      <c r="D47" s="11" t="inlineStr">
        <is>
          <t>Unit cost, supplier receipt no., brand and pack on each stock receiving entry</t>
        </is>
      </c>
      <c r="E47" s="11" t="inlineStr">
        <is>
          <t>Partial</t>
        </is>
      </c>
      <c r="F47" s="11" t="inlineStr">
        <is>
          <t>S</t>
        </is>
      </c>
      <c r="G47" s="11" t="inlineStr">
        <is>
          <t>Med</t>
        </is>
      </c>
      <c r="H47" s="11" t="inlineStr">
        <is>
          <t>DONE e1e200b: unit cost + receipt/DR no. added; pack size stays in the product name as the branch does today. Monthly purchases report needs cost per delivery, not just the product's current costing.</t>
        </is>
      </c>
      <c r="I47" s="11" t="inlineStr">
        <is>
          <t>None</t>
        </is>
      </c>
      <c r="J47" s="11" t="inlineStr"/>
      <c r="K47" s="11" t="inlineStr">
        <is>
          <t>Done</t>
        </is>
      </c>
    </row>
    <row r="48">
      <c r="A48" s="11" t="n">
        <v>47</v>
      </c>
      <c r="B48" s="11" t="inlineStr">
        <is>
          <t>System</t>
        </is>
      </c>
      <c r="C48" s="11" t="inlineStr">
        <is>
          <t>Report Formats sheet (monthly sheets); js/products-data.js:401</t>
        </is>
      </c>
      <c r="D48" s="11" t="inlineStr">
        <is>
          <t>Match the client's categories: Generics, Branded, Drugstore (per piece), Medical Supplies, Grocery</t>
        </is>
      </c>
      <c r="E48" s="11" t="inlineStr">
        <is>
          <t>Deviates</t>
        </is>
      </c>
      <c r="F48" s="11" t="inlineStr">
        <is>
          <t>S</t>
        </is>
      </c>
      <c r="G48" s="11" t="inlineStr">
        <is>
          <t>Med</t>
        </is>
      </c>
      <c r="H48" s="11" t="inlineStr">
        <is>
          <t>DONE e1e200b: also storefront links/filters now follow Manage Categories. Existing Firebase projects keep their current categories - add the client's in Manage Categories.. Default categories are OTC/Vitamins/Personal Care/Health &amp; Wellness; the monthly report is one sheet per client category.</t>
        </is>
      </c>
      <c r="I48" s="11" t="inlineStr">
        <is>
          <t>None</t>
        </is>
      </c>
      <c r="J48" s="11" t="inlineStr"/>
      <c r="K48" s="11" t="inlineStr">
        <is>
          <t>Done</t>
        </is>
      </c>
    </row>
    <row r="49">
      <c r="A49" s="11" t="n">
        <v>48</v>
      </c>
      <c r="B49" s="11" t="inlineStr">
        <is>
          <t>System</t>
        </is>
      </c>
      <c r="C49" s="11" t="inlineStr">
        <is>
          <t>REQ085, REQ087</t>
        </is>
      </c>
      <c r="D49" s="11" t="inlineStr">
        <is>
          <t>Optional agreed price per wholesale buyer per product, used as default on their orders</t>
        </is>
      </c>
      <c r="E49" s="11" t="inlineStr">
        <is>
          <t>Partial</t>
        </is>
      </c>
      <c r="F49" s="11" t="inlineStr">
        <is>
          <t>M</t>
        </is>
      </c>
      <c r="G49" s="11" t="inlineStr">
        <is>
          <t>Med</t>
        </is>
      </c>
      <c r="H49" s="11" t="inlineStr">
        <is>
          <t>Keeps per-account pricing (no letter).</t>
        </is>
      </c>
      <c r="I49" s="12" t="inlineStr">
        <is>
          <t>REMOVES / narrows - see Removals (Letter)</t>
        </is>
      </c>
      <c r="J49" s="11" t="inlineStr"/>
      <c r="K49" s="11" t="inlineStr">
        <is>
          <t>Open</t>
        </is>
      </c>
    </row>
    <row r="50">
      <c r="A50" s="11" t="n">
        <v>49</v>
      </c>
      <c r="B50" s="11" t="inlineStr">
        <is>
          <t>System</t>
        </is>
      </c>
      <c r="C50" s="11" t="inlineStr">
        <is>
          <t>Production readiness</t>
        </is>
      </c>
      <c r="D50" s="11" t="inlineStr">
        <is>
          <t>Cut database reads: stop loading whole collections on every page (Firestore free-plan daily read cap ~50k)</t>
        </is>
      </c>
      <c r="E50" s="11" t="inlineStr">
        <is>
          <t>Partial</t>
        </is>
      </c>
      <c r="F50" s="11" t="inlineStr">
        <is>
          <t>M</t>
        </is>
      </c>
      <c r="G50" s="11" t="inlineStr">
        <is>
          <t>Med</t>
        </is>
      </c>
      <c r="H50" s="11" t="inlineStr">
        <is>
          <t>Needed before real use with the client's ~1,000-product catalog.</t>
        </is>
      </c>
      <c r="I50" s="11" t="inlineStr">
        <is>
          <t>None</t>
        </is>
      </c>
      <c r="J50" s="11" t="inlineStr"/>
      <c r="K50" s="11" t="inlineStr">
        <is>
          <t>Open</t>
        </is>
      </c>
    </row>
    <row r="51">
      <c r="A51" s="11" t="n">
        <v>50</v>
      </c>
      <c r="B51" s="11" t="inlineStr">
        <is>
          <t>System</t>
        </is>
      </c>
      <c r="C51" s="11" t="inlineStr">
        <is>
          <t>Dashboard module p.40; Interview 4 (dashboard export)</t>
        </is>
      </c>
      <c r="D51" s="11" t="inlineStr">
        <is>
          <t>Dashboard Sales Analytics: show which dates the Today/Week/Month/Year view covers, and add a picker to choose a specific day, week, month or year (with previous/next)</t>
        </is>
      </c>
      <c r="E51" s="11" t="inlineStr">
        <is>
          <t>Missing</t>
        </is>
      </c>
      <c r="F51" s="11" t="inlineStr">
        <is>
          <t>S</t>
        </is>
      </c>
      <c r="G51" s="11" t="inlineStr">
        <is>
          <t>Med</t>
        </is>
      </c>
      <c r="H51" s="11" t="inlineStr">
        <is>
          <t>Requested by the team 2026-10-21. Chart, totals and the export should all follow the picked period, and the export title should name it.</t>
        </is>
      </c>
      <c r="I51" s="11" t="inlineStr">
        <is>
          <t>None</t>
        </is>
      </c>
      <c r="J51" s="11" t="inlineStr"/>
      <c r="K51" s="11" t="inlineStr">
        <is>
          <t>Open</t>
        </is>
      </c>
    </row>
    <row r="52">
      <c r="A52" s="11" t="n">
        <v>51</v>
      </c>
      <c r="B52" s="11" t="inlineStr">
        <is>
          <t>System</t>
        </is>
      </c>
      <c r="C52" s="11" t="inlineStr">
        <is>
          <t>Project Context (p.1)</t>
        </is>
      </c>
      <c r="D52" s="11" t="inlineStr">
        <is>
          <t>Says the old POS couldn't print batch numbers, expiration dates or supplier details on receipts. The new receipts don't show them either; add batch/expiry to receipts and reports, or soften the sentence.</t>
        </is>
      </c>
      <c r="E52" s="11" t="inlineStr">
        <is>
          <t>Manuscript pass</t>
        </is>
      </c>
      <c r="F52" s="11" t="inlineStr">
        <is>
          <t>S</t>
        </is>
      </c>
      <c r="G52" s="11" t="inlineStr">
        <is>
          <t>Med</t>
        </is>
      </c>
      <c r="H52" s="11" t="inlineStr"/>
      <c r="I52" s="11" t="inlineStr">
        <is>
          <t>None</t>
        </is>
      </c>
      <c r="J52" s="11" t="inlineStr"/>
      <c r="K52" s="11" t="inlineStr">
        <is>
          <t>Open</t>
        </is>
      </c>
    </row>
    <row r="53">
      <c r="A53" s="11" t="n">
        <v>52</v>
      </c>
      <c r="B53" s="11" t="inlineStr">
        <is>
          <t>System</t>
        </is>
      </c>
      <c r="C53" s="11" t="inlineStr">
        <is>
          <t>Theoretical Framework (p.24)</t>
        </is>
      </c>
      <c r="D53" s="11" t="inlineStr">
        <is>
          <t>'Only authorized branch managers can ... override automated inventory counts': needs the REQ061 fix (Branch Manager-only reconciliation finalize).</t>
        </is>
      </c>
      <c r="E53" s="11" t="inlineStr">
        <is>
          <t>Manuscript pass</t>
        </is>
      </c>
      <c r="F53" s="11" t="inlineStr">
        <is>
          <t>S</t>
        </is>
      </c>
      <c r="G53" s="11" t="inlineStr">
        <is>
          <t>Med</t>
        </is>
      </c>
      <c r="H53" s="11" t="inlineStr">
        <is>
          <t>DONE 06574da: system now matches (BM-only finalize).</t>
        </is>
      </c>
      <c r="I53" s="11" t="inlineStr">
        <is>
          <t>None</t>
        </is>
      </c>
      <c r="J53" s="11" t="inlineStr"/>
      <c r="K53" s="11" t="inlineStr">
        <is>
          <t>Done</t>
        </is>
      </c>
    </row>
    <row r="54">
      <c r="A54" s="11" t="n">
        <v>53</v>
      </c>
      <c r="B54" s="11" t="inlineStr">
        <is>
          <t>System</t>
        </is>
      </c>
      <c r="C54" s="11" t="inlineStr">
        <is>
          <t>Conceptual Framework (Output) (p.27)</t>
        </is>
      </c>
      <c r="D54" s="11" t="inlineStr">
        <is>
          <t>'Terms and Conditions remain available throughout the session': footer Privacy/Terms links are dead. Link them to the existing legal text.</t>
        </is>
      </c>
      <c r="E54" s="11" t="inlineStr">
        <is>
          <t>Manuscript pass</t>
        </is>
      </c>
      <c r="F54" s="11" t="inlineStr">
        <is>
          <t>S</t>
        </is>
      </c>
      <c r="G54" s="11" t="inlineStr">
        <is>
          <t>Med</t>
        </is>
      </c>
      <c r="H54" s="11" t="inlineStr">
        <is>
          <t>DONE footer links to legal.html on every page.</t>
        </is>
      </c>
      <c r="I54" s="11" t="inlineStr">
        <is>
          <t>None</t>
        </is>
      </c>
      <c r="J54" s="11" t="inlineStr"/>
      <c r="K54" s="11" t="inlineStr">
        <is>
          <t>Done</t>
        </is>
      </c>
    </row>
    <row r="55">
      <c r="A55" s="11" t="n">
        <v>54</v>
      </c>
      <c r="B55" s="11" t="inlineStr">
        <is>
          <t>System + paper</t>
        </is>
      </c>
      <c r="C55" s="11" t="inlineStr">
        <is>
          <t>Modules: Staff roles (p.45-46)</t>
        </is>
      </c>
      <c r="D55" s="11" t="inlineStr">
        <is>
          <t>Lists 'void authorization' for Branch Manager and Technical Staff: needs the void feature. 'Sales Staff: product catalog viewing only': see REQ121 decision.</t>
        </is>
      </c>
      <c r="E55" s="11" t="inlineStr">
        <is>
          <t>Manuscript pass</t>
        </is>
      </c>
      <c r="F55" s="11" t="inlineStr">
        <is>
          <t>S</t>
        </is>
      </c>
      <c r="G55" s="11" t="inlineStr">
        <is>
          <t>Med</t>
        </is>
      </c>
      <c r="H55" s="11" t="inlineStr">
        <is>
          <t>DONE 57f4d80: void built for BM/Technical; Sales Staff POS-only.</t>
        </is>
      </c>
      <c r="I55" s="11" t="inlineStr">
        <is>
          <t>Corrects / rewords</t>
        </is>
      </c>
      <c r="J55" s="11" t="inlineStr"/>
      <c r="K55" s="11" t="inlineStr">
        <is>
          <t>Done</t>
        </is>
      </c>
    </row>
    <row r="56">
      <c r="A56" s="11" t="n">
        <v>55</v>
      </c>
      <c r="B56" s="11" t="inlineStr">
        <is>
          <t>Paper</t>
        </is>
      </c>
      <c r="C56" s="11" t="inlineStr">
        <is>
          <t>REQ007 / Technical Background p.35-36</t>
        </is>
      </c>
      <c r="D56" s="11" t="inlineStr">
        <is>
          <t>Password reset link is sent by Firebase Authentication, not EmailJS.</t>
        </is>
      </c>
      <c r="E56" s="11" t="inlineStr">
        <is>
          <t>Paper edit</t>
        </is>
      </c>
      <c r="F56" s="11" t="inlineStr">
        <is>
          <t>S</t>
        </is>
      </c>
      <c r="G56" s="11" t="inlineStr">
        <is>
          <t>Med</t>
        </is>
      </c>
      <c r="H56" s="11" t="inlineStr">
        <is>
          <t>See Contradictions / Paper Edits</t>
        </is>
      </c>
      <c r="I56" s="11" t="inlineStr">
        <is>
          <t>Corrects / rewords</t>
        </is>
      </c>
      <c r="J56" s="11" t="inlineStr"/>
      <c r="K56" s="11" t="inlineStr">
        <is>
          <t>Open</t>
        </is>
      </c>
    </row>
    <row r="57">
      <c r="A57" s="11" t="n">
        <v>56</v>
      </c>
      <c r="B57" s="11" t="inlineStr">
        <is>
          <t>Paper</t>
        </is>
      </c>
      <c r="C57" s="11" t="inlineStr">
        <is>
          <t>REQ008 p.47; Modules p.38</t>
        </is>
      </c>
      <c r="D57" s="11" t="inlineStr">
        <is>
          <t>Drop 'promotions' unless you plan them; keep 'announcements' (banner to be built).</t>
        </is>
      </c>
      <c r="E57" s="11" t="inlineStr">
        <is>
          <t>Paper edit</t>
        </is>
      </c>
      <c r="F57" s="11" t="inlineStr">
        <is>
          <t>S</t>
        </is>
      </c>
      <c r="G57" s="11" t="inlineStr">
        <is>
          <t>Med</t>
        </is>
      </c>
      <c r="H57" s="11" t="inlineStr">
        <is>
          <t>See Contradictions / Paper Edits</t>
        </is>
      </c>
      <c r="I57" s="12" t="inlineStr">
        <is>
          <t>REMOVES / narrows - see Removals (Letter)</t>
        </is>
      </c>
      <c r="J57" s="11" t="inlineStr"/>
      <c r="K57" s="11" t="inlineStr">
        <is>
          <t>Open</t>
        </is>
      </c>
    </row>
    <row r="58">
      <c r="A58" s="11" t="n">
        <v>57</v>
      </c>
      <c r="B58" s="11" t="inlineStr">
        <is>
          <t>Paper</t>
        </is>
      </c>
      <c r="C58" s="11" t="inlineStr">
        <is>
          <t>REQ031 p.50</t>
        </is>
      </c>
      <c r="D58" s="11" t="inlineStr">
        <is>
          <t>Replace status list with: Pending Verification, Payment Confirmed, Dispatched / Ready for Pick-up, Delivered, Received / Picked Up, On Hold (with type), Closed (Unresolved).</t>
        </is>
      </c>
      <c r="E58" s="11" t="inlineStr">
        <is>
          <t>Paper edit</t>
        </is>
      </c>
      <c r="F58" s="11" t="inlineStr">
        <is>
          <t>S</t>
        </is>
      </c>
      <c r="G58" s="11" t="inlineStr">
        <is>
          <t>Med</t>
        </is>
      </c>
      <c r="H58" s="11" t="inlineStr">
        <is>
          <t>See Contradictions / Paper Edits</t>
        </is>
      </c>
      <c r="I58" s="12" t="inlineStr">
        <is>
          <t>REMOVES / narrows - see Removals (Letter)</t>
        </is>
      </c>
      <c r="J58" s="11" t="inlineStr"/>
      <c r="K58" s="11" t="inlineStr">
        <is>
          <t>Open</t>
        </is>
      </c>
    </row>
    <row r="59">
      <c r="A59" s="11" t="n">
        <v>58</v>
      </c>
      <c r="B59" s="11" t="inlineStr">
        <is>
          <t>Paper</t>
        </is>
      </c>
      <c r="C59" s="11" t="inlineStr">
        <is>
          <t>REQ073 p.55</t>
        </is>
      </c>
      <c r="D59" s="11" t="inlineStr">
        <is>
          <t>Add 'and the stated reason' (client requirement, Interview 2) - after the reason field is built.</t>
        </is>
      </c>
      <c r="E59" s="11" t="inlineStr">
        <is>
          <t>Paper edit</t>
        </is>
      </c>
      <c r="F59" s="11" t="inlineStr">
        <is>
          <t>S</t>
        </is>
      </c>
      <c r="G59" s="11" t="inlineStr">
        <is>
          <t>Med</t>
        </is>
      </c>
      <c r="H59" s="11" t="inlineStr">
        <is>
          <t>See Contradictions / Paper Edits</t>
        </is>
      </c>
      <c r="I59" s="11" t="inlineStr">
        <is>
          <t>Corrects / rewords</t>
        </is>
      </c>
      <c r="J59" s="11" t="inlineStr"/>
      <c r="K59" s="11" t="inlineStr">
        <is>
          <t>Open</t>
        </is>
      </c>
    </row>
    <row r="60">
      <c r="A60" s="11" t="n">
        <v>59</v>
      </c>
      <c r="B60" s="11" t="inlineStr">
        <is>
          <t>Paper</t>
        </is>
      </c>
      <c r="C60" s="11" t="inlineStr">
        <is>
          <t>REQ083 p.56; Fig 2.6 text p.73; Fig 2.14 text p.89</t>
        </is>
      </c>
      <c r="D60" s="11" t="inlineStr">
        <is>
          <t>Void applies to completed transactions, referencing the original receipt number (C4).</t>
        </is>
      </c>
      <c r="E60" s="11" t="inlineStr">
        <is>
          <t>Paper edit</t>
        </is>
      </c>
      <c r="F60" s="11" t="inlineStr">
        <is>
          <t>S</t>
        </is>
      </c>
      <c r="G60" s="11" t="inlineStr">
        <is>
          <t>Med</t>
        </is>
      </c>
      <c r="H60" s="11" t="inlineStr">
        <is>
          <t>See Contradictions / Paper Edits</t>
        </is>
      </c>
      <c r="I60" s="11" t="inlineStr">
        <is>
          <t>Corrects / rewords</t>
        </is>
      </c>
      <c r="J60" s="11" t="inlineStr"/>
      <c r="K60" s="11" t="inlineStr">
        <is>
          <t>Open</t>
        </is>
      </c>
    </row>
    <row r="61">
      <c r="A61" s="11" t="n">
        <v>60</v>
      </c>
      <c r="B61" s="11" t="inlineStr">
        <is>
          <t>Paper</t>
        </is>
      </c>
      <c r="C61" s="11" t="inlineStr">
        <is>
          <t>REQ085, REQ087 p.57; Modules p.44</t>
        </is>
      </c>
      <c r="D61" s="11" t="inlineStr">
        <is>
          <t>Default wholesale price per product, adjustable per order (C9).</t>
        </is>
      </c>
      <c r="E61" s="11" t="inlineStr">
        <is>
          <t>Paper edit</t>
        </is>
      </c>
      <c r="F61" s="11" t="inlineStr">
        <is>
          <t>S</t>
        </is>
      </c>
      <c r="G61" s="11" t="inlineStr">
        <is>
          <t>Med</t>
        </is>
      </c>
      <c r="H61" s="11" t="inlineStr">
        <is>
          <t>See Contradictions / Paper Edits</t>
        </is>
      </c>
      <c r="I61" s="12" t="inlineStr">
        <is>
          <t>REMOVES / narrows - see Removals (Letter)</t>
        </is>
      </c>
      <c r="J61" s="11" t="inlineStr"/>
      <c r="K61" s="11" t="inlineStr">
        <is>
          <t>Open</t>
        </is>
      </c>
    </row>
    <row r="62">
      <c r="A62" s="11" t="n">
        <v>61</v>
      </c>
      <c r="B62" s="11" t="inlineStr">
        <is>
          <t>Paper</t>
        </is>
      </c>
      <c r="C62" s="11" t="inlineStr">
        <is>
          <t>REQ095, REQ098 p.58-59; Fig 2.6 text p.74; Fig 2.11 text p.83</t>
        </is>
      </c>
      <c r="D62" s="11" t="inlineStr">
        <is>
          <t>Overpayment is approved and the excess is added to the customer's store credit; three hold types plus overpayment-approval (C2).</t>
        </is>
      </c>
      <c r="E62" s="11" t="inlineStr">
        <is>
          <t>Paper edit</t>
        </is>
      </c>
      <c r="F62" s="11" t="inlineStr">
        <is>
          <t>S</t>
        </is>
      </c>
      <c r="G62" s="11" t="inlineStr">
        <is>
          <t>Med</t>
        </is>
      </c>
      <c r="H62" s="11" t="inlineStr">
        <is>
          <t>See Contradictions / Paper Edits</t>
        </is>
      </c>
      <c r="I62" s="12" t="inlineStr">
        <is>
          <t>REMOVES / narrows - see Removals (Letter)</t>
        </is>
      </c>
      <c r="J62" s="11" t="inlineStr"/>
      <c r="K62" s="11" t="inlineStr">
        <is>
          <t>Open</t>
        </is>
      </c>
    </row>
    <row r="63">
      <c r="A63" s="11" t="n">
        <v>62</v>
      </c>
      <c r="B63" s="11" t="inlineStr">
        <is>
          <t>Paper</t>
        </is>
      </c>
      <c r="C63" s="11" t="inlineStr">
        <is>
          <t>REQ105 p.60; Fig 2.4 text p.71; Modules p.39-40</t>
        </is>
      </c>
      <c r="D63" s="11" t="inlineStr">
        <is>
          <t>Delivered is set by staff (or automatically after 3 days); the customer's confirmation marks it Received (C1).</t>
        </is>
      </c>
      <c r="E63" s="11" t="inlineStr">
        <is>
          <t>Paper edit</t>
        </is>
      </c>
      <c r="F63" s="11" t="inlineStr">
        <is>
          <t>S</t>
        </is>
      </c>
      <c r="G63" s="11" t="inlineStr">
        <is>
          <t>Med</t>
        </is>
      </c>
      <c r="H63" s="11" t="inlineStr">
        <is>
          <t>See Contradictions / Paper Edits</t>
        </is>
      </c>
      <c r="I63" s="11" t="inlineStr">
        <is>
          <t>Corrects / rewords</t>
        </is>
      </c>
      <c r="J63" s="11" t="inlineStr"/>
      <c r="K63" s="11" t="inlineStr">
        <is>
          <t>Open</t>
        </is>
      </c>
    </row>
    <row r="64">
      <c r="A64" s="11" t="n">
        <v>63</v>
      </c>
      <c r="B64" s="11" t="inlineStr">
        <is>
          <t>Paper</t>
        </is>
      </c>
      <c r="C64" s="11" t="inlineStr">
        <is>
          <t>REQ121 p.61</t>
        </is>
      </c>
      <c r="D64" s="11" t="inlineStr">
        <is>
          <t>Only if you keep Sales Staff access to Walk-in Orders history: add it to REQ121.</t>
        </is>
      </c>
      <c r="E64" s="11" t="inlineStr">
        <is>
          <t>Paper edit</t>
        </is>
      </c>
      <c r="F64" s="11" t="inlineStr">
        <is>
          <t>S</t>
        </is>
      </c>
      <c r="G64" s="11" t="inlineStr">
        <is>
          <t>Med</t>
        </is>
      </c>
      <c r="H64" s="11" t="inlineStr">
        <is>
          <t>See Contradictions / Paper Edits</t>
        </is>
      </c>
      <c r="I64" s="11" t="inlineStr">
        <is>
          <t>Corrects / rewords</t>
        </is>
      </c>
      <c r="J64" s="11" t="inlineStr"/>
      <c r="K64" s="11" t="inlineStr">
        <is>
          <t>Open</t>
        </is>
      </c>
    </row>
    <row r="65">
      <c r="A65" s="11" t="n">
        <v>64</v>
      </c>
      <c r="B65" s="11" t="inlineStr">
        <is>
          <t>Paper</t>
        </is>
      </c>
      <c r="C65" s="11" t="inlineStr">
        <is>
          <t>Fig 2.2 text p.67</t>
        </is>
      </c>
      <c r="D65" s="11" t="inlineStr">
        <is>
          <t>Audit log is available to Technical Staff and Branch Manager (C6).</t>
        </is>
      </c>
      <c r="E65" s="11" t="inlineStr">
        <is>
          <t>Paper edit</t>
        </is>
      </c>
      <c r="F65" s="11" t="inlineStr">
        <is>
          <t>S</t>
        </is>
      </c>
      <c r="G65" s="11" t="inlineStr">
        <is>
          <t>Med</t>
        </is>
      </c>
      <c r="H65" s="11" t="inlineStr">
        <is>
          <t>See Contradictions / Paper Edits</t>
        </is>
      </c>
      <c r="I65" s="11" t="inlineStr">
        <is>
          <t>Corrects / rewords</t>
        </is>
      </c>
      <c r="J65" s="11" t="inlineStr"/>
      <c r="K65" s="11" t="inlineStr">
        <is>
          <t>Open</t>
        </is>
      </c>
    </row>
    <row r="66">
      <c r="A66" s="11" t="n">
        <v>65</v>
      </c>
      <c r="B66" s="11" t="inlineStr">
        <is>
          <t>Paper</t>
        </is>
      </c>
      <c r="C66" s="11" t="inlineStr">
        <is>
          <t>Fig 2.2 diagram</t>
        </is>
      </c>
      <c r="D66" s="11" t="inlineStr">
        <is>
          <t>Connect 'Manage Live Chat' to Technical Staff; add missing bubbles or label as summary (C11); one name for the pre-order use case (C12).</t>
        </is>
      </c>
      <c r="E66" s="11" t="inlineStr">
        <is>
          <t>Paper edit</t>
        </is>
      </c>
      <c r="F66" s="11" t="inlineStr">
        <is>
          <t>S</t>
        </is>
      </c>
      <c r="G66" s="11" t="inlineStr">
        <is>
          <t>Med</t>
        </is>
      </c>
      <c r="H66" s="11" t="inlineStr">
        <is>
          <t>See Contradictions / Paper Edits</t>
        </is>
      </c>
      <c r="I66" s="11" t="inlineStr">
        <is>
          <t>Corrects / rewords</t>
        </is>
      </c>
      <c r="J66" s="11" t="inlineStr"/>
      <c r="K66" s="11" t="inlineStr">
        <is>
          <t>Open</t>
        </is>
      </c>
    </row>
    <row r="67">
      <c r="A67" s="11" t="n">
        <v>66</v>
      </c>
      <c r="B67" s="11" t="inlineStr">
        <is>
          <t>Paper</t>
        </is>
      </c>
      <c r="C67" s="11" t="inlineStr">
        <is>
          <t>Fig 2.5 text p.72</t>
        </is>
      </c>
      <c r="D67" s="11" t="inlineStr">
        <is>
          <t>Technical Staff opens/counts; Branch Manager finalizes (C5).</t>
        </is>
      </c>
      <c r="E67" s="11" t="inlineStr">
        <is>
          <t>Paper edit</t>
        </is>
      </c>
      <c r="F67" s="11" t="inlineStr">
        <is>
          <t>S</t>
        </is>
      </c>
      <c r="G67" s="11" t="inlineStr">
        <is>
          <t>Med</t>
        </is>
      </c>
      <c r="H67" s="11" t="inlineStr">
        <is>
          <t>See Contradictions / Paper Edits</t>
        </is>
      </c>
      <c r="I67" s="11" t="inlineStr">
        <is>
          <t>Corrects / rewords</t>
        </is>
      </c>
      <c r="J67" s="11" t="inlineStr"/>
      <c r="K67" s="11" t="inlineStr">
        <is>
          <t>Open</t>
        </is>
      </c>
    </row>
    <row r="68">
      <c r="A68" s="11" t="n">
        <v>67</v>
      </c>
      <c r="B68" s="11" t="inlineStr">
        <is>
          <t>Paper</t>
        </is>
      </c>
      <c r="C68" s="11" t="inlineStr">
        <is>
          <t>Fig 2.2 / 2.7 diagrams</t>
        </is>
      </c>
      <c r="D68" s="11" t="inlineStr">
        <is>
          <t>Overpayment, free-of-cost distribution: no bubble anywhere; add 'Record Free-of-Cost Distribution' under Manage Wholesale Accounts if REQ091 stays.</t>
        </is>
      </c>
      <c r="E68" s="11" t="inlineStr">
        <is>
          <t>Paper edit</t>
        </is>
      </c>
      <c r="F68" s="11" t="inlineStr">
        <is>
          <t>S</t>
        </is>
      </c>
      <c r="G68" s="11" t="inlineStr">
        <is>
          <t>Med</t>
        </is>
      </c>
      <c r="H68" s="11" t="inlineStr">
        <is>
          <t>See Contradictions / Paper Edits</t>
        </is>
      </c>
      <c r="I68" s="11" t="inlineStr">
        <is>
          <t>Corrects / rewords</t>
        </is>
      </c>
      <c r="J68" s="11" t="inlineStr"/>
      <c r="K68" s="11" t="inlineStr">
        <is>
          <t>Open</t>
        </is>
      </c>
    </row>
    <row r="69">
      <c r="A69" s="11" t="n">
        <v>68</v>
      </c>
      <c r="B69" s="11" t="inlineStr">
        <is>
          <t>Paper</t>
        </is>
      </c>
      <c r="C69" s="11" t="inlineStr">
        <is>
          <t>Fig 2.8 diagram + text p.76-77</t>
        </is>
      </c>
      <c r="D69" s="11" t="inlineStr">
        <is>
          <t>Add reCAPTCHA, locked-account check, deactivated-account check, unverified-email redirect; make the wrong-OTP path match the text (C13).</t>
        </is>
      </c>
      <c r="E69" s="11" t="inlineStr">
        <is>
          <t>Paper edit</t>
        </is>
      </c>
      <c r="F69" s="11" t="inlineStr">
        <is>
          <t>S</t>
        </is>
      </c>
      <c r="G69" s="11" t="inlineStr">
        <is>
          <t>Med</t>
        </is>
      </c>
      <c r="H69" s="11" t="inlineStr">
        <is>
          <t>See Contradictions / Paper Edits</t>
        </is>
      </c>
      <c r="I69" s="11" t="inlineStr">
        <is>
          <t>Corrects / rewords</t>
        </is>
      </c>
      <c r="J69" s="11" t="inlineStr"/>
      <c r="K69" s="11" t="inlineStr">
        <is>
          <t>Open</t>
        </is>
      </c>
    </row>
    <row r="70">
      <c r="A70" s="11" t="n">
        <v>69</v>
      </c>
      <c r="B70" s="11" t="inlineStr">
        <is>
          <t>Paper</t>
        </is>
      </c>
      <c r="C70" s="11" t="inlineStr">
        <is>
          <t>Fig 2.9 diagram + text p.78-79</t>
        </is>
      </c>
      <c r="D70" s="11" t="inlineStr">
        <is>
          <t>Terms accepted before submit, duplicate email caught at account creation (C14); add Resend Code; end at the shop, signed in (C10).</t>
        </is>
      </c>
      <c r="E70" s="11" t="inlineStr">
        <is>
          <t>Paper edit</t>
        </is>
      </c>
      <c r="F70" s="11" t="inlineStr">
        <is>
          <t>S</t>
        </is>
      </c>
      <c r="G70" s="11" t="inlineStr">
        <is>
          <t>Med</t>
        </is>
      </c>
      <c r="H70" s="11" t="inlineStr">
        <is>
          <t>See Contradictions / Paper Edits</t>
        </is>
      </c>
      <c r="I70" s="11" t="inlineStr">
        <is>
          <t>Corrects / rewords</t>
        </is>
      </c>
      <c r="J70" s="11" t="inlineStr"/>
      <c r="K70" s="11" t="inlineStr">
        <is>
          <t>Open</t>
        </is>
      </c>
    </row>
    <row r="71">
      <c r="A71" s="11" t="n">
        <v>70</v>
      </c>
      <c r="B71" s="11" t="inlineStr">
        <is>
          <t>Paper</t>
        </is>
      </c>
      <c r="C71" s="11" t="inlineStr">
        <is>
          <t>Fig 2.10 diagram</t>
        </is>
      </c>
      <c r="D71" s="11" t="inlineStr">
        <is>
          <t>Move the RX decision to the start of checkout; RX skips the address; add Upload Prescription Photo (C15); optionally add delivery schedule and store credit.</t>
        </is>
      </c>
      <c r="E71" s="11" t="inlineStr">
        <is>
          <t>Paper edit</t>
        </is>
      </c>
      <c r="F71" s="11" t="inlineStr">
        <is>
          <t>S</t>
        </is>
      </c>
      <c r="G71" s="11" t="inlineStr">
        <is>
          <t>Med</t>
        </is>
      </c>
      <c r="H71" s="11" t="inlineStr">
        <is>
          <t>See Contradictions / Paper Edits</t>
        </is>
      </c>
      <c r="I71" s="11" t="inlineStr">
        <is>
          <t>Corrects / rewords</t>
        </is>
      </c>
      <c r="J71" s="11" t="inlineStr"/>
      <c r="K71" s="11" t="inlineStr">
        <is>
          <t>Open</t>
        </is>
      </c>
    </row>
    <row r="72">
      <c r="A72" s="11" t="n">
        <v>71</v>
      </c>
      <c r="B72" s="11" t="inlineStr">
        <is>
          <t>Paper</t>
        </is>
      </c>
      <c r="C72" s="11" t="inlineStr">
        <is>
          <t>Fig 2.11 diagram + text p.82-83</t>
        </is>
      </c>
      <c r="D72" s="11" t="inlineStr">
        <is>
          <t>Prescription approval/rejection before confirmation (C3, after it is built); RX skips courier steps (C17); resolved holds return to admin review (C18); stock shortage -&gt; Out of Stock hold (C19); overpayment approved with credit (C2); expired holds closed by the System lane, credit kept.</t>
        </is>
      </c>
      <c r="E72" s="11" t="inlineStr">
        <is>
          <t>Paper edit</t>
        </is>
      </c>
      <c r="F72" s="11" t="inlineStr">
        <is>
          <t>S</t>
        </is>
      </c>
      <c r="G72" s="11" t="inlineStr">
        <is>
          <t>Med</t>
        </is>
      </c>
      <c r="H72" s="11" t="inlineStr">
        <is>
          <t>See Contradictions / Paper Edits</t>
        </is>
      </c>
      <c r="I72" s="11" t="inlineStr">
        <is>
          <t>Corrects / rewords</t>
        </is>
      </c>
      <c r="J72" s="11" t="inlineStr"/>
      <c r="K72" s="11" t="inlineStr">
        <is>
          <t>Open</t>
        </is>
      </c>
    </row>
    <row r="73">
      <c r="A73" s="11" t="n">
        <v>72</v>
      </c>
      <c r="B73" s="11" t="inlineStr">
        <is>
          <t>Paper</t>
        </is>
      </c>
      <c r="C73" s="11" t="inlineStr">
        <is>
          <t>Title page / cover (i)</t>
        </is>
      </c>
      <c r="D73" s="11" t="inlineStr">
        <is>
          <t>Still labelled 'Capstone Project Proposal' dated May 16, 2026; update the label and date for the final manuscript.</t>
        </is>
      </c>
      <c r="E73" s="11" t="inlineStr">
        <is>
          <t>Manuscript pass</t>
        </is>
      </c>
      <c r="F73" s="11" t="inlineStr">
        <is>
          <t>S</t>
        </is>
      </c>
      <c r="G73" s="11" t="inlineStr">
        <is>
          <t>Med</t>
        </is>
      </c>
      <c r="H73" s="11" t="inlineStr"/>
      <c r="I73" s="11" t="inlineStr">
        <is>
          <t>Corrects / rewords</t>
        </is>
      </c>
      <c r="J73" s="11" t="inlineStr"/>
      <c r="K73" s="11" t="inlineStr">
        <is>
          <t>Open</t>
        </is>
      </c>
    </row>
    <row r="74">
      <c r="A74" s="11" t="n">
        <v>73</v>
      </c>
      <c r="B74" s="11" t="inlineStr">
        <is>
          <t>Paper</t>
        </is>
      </c>
      <c r="C74" s="11" t="inlineStr">
        <is>
          <t>Whole paper (-)</t>
        </is>
      </c>
      <c r="D74" s="11" t="inlineStr">
        <is>
          <t>About 100 'will ...' sentences are written as a proposal. Ask the adviser whether the final manuscript should switch to past/present tense, then convert.</t>
        </is>
      </c>
      <c r="E74" s="11" t="inlineStr">
        <is>
          <t>Manuscript pass</t>
        </is>
      </c>
      <c r="F74" s="11" t="inlineStr">
        <is>
          <t>M</t>
        </is>
      </c>
      <c r="G74" s="11" t="inlineStr">
        <is>
          <t>Med</t>
        </is>
      </c>
      <c r="H74" s="11" t="inlineStr"/>
      <c r="I74" s="11" t="inlineStr">
        <is>
          <t>Corrects / rewords</t>
        </is>
      </c>
      <c r="J74" s="11" t="inlineStr"/>
      <c r="K74" s="11" t="inlineStr">
        <is>
          <t>Open</t>
        </is>
      </c>
    </row>
    <row r="75">
      <c r="A75" s="11" t="n">
        <v>74</v>
      </c>
      <c r="B75" s="11" t="inlineStr">
        <is>
          <t>Paper</t>
        </is>
      </c>
      <c r="C75" s="11" t="inlineStr">
        <is>
          <t>Comparative Analysis (p.18)</t>
        </is>
      </c>
      <c r="D75" s="11" t="inlineStr">
        <is>
          <t>The three compared systems are named but not cited in that section: J1TEK = Binag et al. (2024), Online Transporter = Llorente et al. (2022), Bandung FEFO = Malasari &amp; Sudrajat (2023). Binag and Llorente are in the reference list but cited nowhere in the text.</t>
        </is>
      </c>
      <c r="E75" s="11" t="inlineStr">
        <is>
          <t>Manuscript pass</t>
        </is>
      </c>
      <c r="F75" s="11" t="inlineStr">
        <is>
          <t>S</t>
        </is>
      </c>
      <c r="G75" s="11" t="inlineStr">
        <is>
          <t>Med</t>
        </is>
      </c>
      <c r="H75" s="11" t="inlineStr"/>
      <c r="I75" s="11" t="inlineStr">
        <is>
          <t>Corrects / rewords</t>
        </is>
      </c>
      <c r="J75" s="11" t="inlineStr"/>
      <c r="K75" s="11" t="inlineStr">
        <is>
          <t>Open</t>
        </is>
      </c>
    </row>
    <row r="76">
      <c r="A76" s="11" t="n">
        <v>75</v>
      </c>
      <c r="B76" s="11" t="inlineStr">
        <is>
          <t>Paper</t>
        </is>
      </c>
      <c r="C76" s="11" t="inlineStr">
        <is>
          <t>Conceptual Framework (Input) (p.25)</t>
        </is>
      </c>
      <c r="D76" s="11" t="inlineStr">
        <is>
          <t>Says wholesale buyers' info is captured during account registration and that wholesale purchase orders are submitted through the platform. Wholesale buyers don't register or order online; staff record them.</t>
        </is>
      </c>
      <c r="E76" s="11" t="inlineStr">
        <is>
          <t>Manuscript pass</t>
        </is>
      </c>
      <c r="F76" s="11" t="inlineStr">
        <is>
          <t>S</t>
        </is>
      </c>
      <c r="G76" s="11" t="inlineStr">
        <is>
          <t>Med</t>
        </is>
      </c>
      <c r="H76" s="11" t="inlineStr"/>
      <c r="I76" s="12" t="inlineStr">
        <is>
          <t>REMOVES / narrows - see Removals (Letter)</t>
        </is>
      </c>
      <c r="J76" s="11" t="inlineStr"/>
      <c r="K76" s="11" t="inlineStr">
        <is>
          <t>Open</t>
        </is>
      </c>
    </row>
    <row r="77">
      <c r="A77" s="11" t="n">
        <v>76</v>
      </c>
      <c r="B77" s="11" t="inlineStr">
        <is>
          <t>Paper</t>
        </is>
      </c>
      <c r="C77" s="11" t="inlineStr">
        <is>
          <t>Methodology: sprint plan (p.30-35)</t>
        </is>
      </c>
      <c r="D77" s="11" t="inlineStr">
        <is>
          <t>Phases promise features that aren't built (device OTP, notifications by email, thermal printing, live chat, reports). Align with final decisions.</t>
        </is>
      </c>
      <c r="E77" s="11" t="inlineStr">
        <is>
          <t>Manuscript pass</t>
        </is>
      </c>
      <c r="F77" s="11" t="inlineStr">
        <is>
          <t>S</t>
        </is>
      </c>
      <c r="G77" s="11" t="inlineStr">
        <is>
          <t>Med</t>
        </is>
      </c>
      <c r="H77" s="11" t="inlineStr"/>
      <c r="I77" s="11" t="inlineStr">
        <is>
          <t>Corrects / rewords</t>
        </is>
      </c>
      <c r="J77" s="11" t="inlineStr"/>
      <c r="K77" s="11" t="inlineStr">
        <is>
          <t>Open</t>
        </is>
      </c>
    </row>
    <row r="78">
      <c r="A78" s="11" t="n">
        <v>77</v>
      </c>
      <c r="B78" s="11" t="inlineStr">
        <is>
          <t>Paper</t>
        </is>
      </c>
      <c r="C78" s="11" t="inlineStr">
        <is>
          <t>Calendar of Activities (p.96-98)</t>
        </is>
      </c>
      <c r="D78" s="11" t="inlineStr">
        <is>
          <t>Lists a 'Fifth Interview', but the appendices only have four transcripts (J-M). Add the transcript and proof, or remove the row.</t>
        </is>
      </c>
      <c r="E78" s="11" t="inlineStr">
        <is>
          <t>Manuscript pass</t>
        </is>
      </c>
      <c r="F78" s="11" t="inlineStr">
        <is>
          <t>S</t>
        </is>
      </c>
      <c r="G78" s="11" t="inlineStr">
        <is>
          <t>Med</t>
        </is>
      </c>
      <c r="H78" s="11" t="inlineStr"/>
      <c r="I78" s="11" t="inlineStr">
        <is>
          <t>Corrects / rewords</t>
        </is>
      </c>
      <c r="J78" s="11" t="inlineStr"/>
      <c r="K78" s="11" t="inlineStr">
        <is>
          <t>Open</t>
        </is>
      </c>
    </row>
    <row r="79">
      <c r="A79" s="11" t="n">
        <v>78</v>
      </c>
      <c r="B79" s="11" t="inlineStr">
        <is>
          <t>Paper</t>
        </is>
      </c>
      <c r="C79" s="11" t="inlineStr">
        <is>
          <t>Calendar of Activities (p.96-98)</t>
        </is>
      </c>
      <c r="D79" s="11" t="inlineStr">
        <is>
          <t>Month header has no year. Update the bars to actual dates. The webapp branch history starts 2026-08-31 (earlier work isn't in this git history), so the team needs to fill earlier dates.</t>
        </is>
      </c>
      <c r="E79" s="11" t="inlineStr">
        <is>
          <t>Manuscript pass</t>
        </is>
      </c>
      <c r="F79" s="11" t="inlineStr">
        <is>
          <t>S</t>
        </is>
      </c>
      <c r="G79" s="11" t="inlineStr">
        <is>
          <t>Med</t>
        </is>
      </c>
      <c r="H79" s="11" t="inlineStr"/>
      <c r="I79" s="11" t="inlineStr">
        <is>
          <t>Corrects / rewords</t>
        </is>
      </c>
      <c r="J79" s="11" t="inlineStr"/>
      <c r="K79" s="11" t="inlineStr">
        <is>
          <t>Open</t>
        </is>
      </c>
    </row>
    <row r="80">
      <c r="A80" s="11" t="n">
        <v>79</v>
      </c>
      <c r="B80" s="11" t="inlineStr">
        <is>
          <t>System</t>
        </is>
      </c>
      <c r="C80" s="11" t="inlineStr">
        <is>
          <t>REQ088</t>
        </is>
      </c>
      <c r="D80" s="11" t="inlineStr">
        <is>
          <t>Hide costing/wholesale prices from public reads</t>
        </is>
      </c>
      <c r="E80" s="11" t="inlineStr">
        <is>
          <t>Partial</t>
        </is>
      </c>
      <c r="F80" s="11" t="inlineStr">
        <is>
          <t>M</t>
        </is>
      </c>
      <c r="G80" s="11" t="inlineStr">
        <is>
          <t>Low</t>
        </is>
      </c>
      <c r="H80" s="11" t="inlineStr">
        <is>
          <t>DECIDED (revised): build it to avoid a removal letter.</t>
        </is>
      </c>
      <c r="I80" s="11" t="inlineStr">
        <is>
          <t>None</t>
        </is>
      </c>
      <c r="J80" s="11" t="inlineStr"/>
      <c r="K80" s="11" t="inlineStr">
        <is>
          <t>Open</t>
        </is>
      </c>
    </row>
    <row r="81">
      <c r="A81" s="11" t="n">
        <v>80</v>
      </c>
      <c r="B81" s="11" t="inlineStr">
        <is>
          <t>System</t>
        </is>
      </c>
      <c r="C81" s="11" t="inlineStr">
        <is>
          <t>Interview 1</t>
        </is>
      </c>
      <c r="D81" s="11" t="inlineStr">
        <is>
          <t>Park/hold a walk-in sale ('keep') while serving the next customer</t>
        </is>
      </c>
      <c r="E81" s="11" t="inlineStr">
        <is>
          <t>Missing</t>
        </is>
      </c>
      <c r="F81" s="11" t="inlineStr">
        <is>
          <t>M</t>
        </is>
      </c>
      <c r="G81" s="11" t="inlineStr">
        <is>
          <t>Low</t>
        </is>
      </c>
      <c r="H81" s="11" t="inlineStr">
        <is>
          <t>DECIDED: future work. Client's current POS practice; not in the paper.</t>
        </is>
      </c>
      <c r="I81" s="11" t="inlineStr">
        <is>
          <t>None (not in paper)</t>
        </is>
      </c>
      <c r="J81" s="11" t="inlineStr"/>
      <c r="K81" s="11" t="inlineStr">
        <is>
          <t>Dropped</t>
        </is>
      </c>
    </row>
    <row r="82">
      <c r="A82" s="11" t="n">
        <v>81</v>
      </c>
      <c r="B82" s="11" t="inlineStr">
        <is>
          <t>System</t>
        </is>
      </c>
      <c r="C82" s="11" t="inlineStr">
        <is>
          <t>Report Formats sheet (CREDIT terms)</t>
        </is>
      </c>
      <c r="D82" s="11" t="inlineStr">
        <is>
          <t>Credit sales follow-up (who owes what, mark as paid)</t>
        </is>
      </c>
      <c r="E82" s="11" t="inlineStr">
        <is>
          <t>Missing</t>
        </is>
      </c>
      <c r="F82" s="11" t="inlineStr">
        <is>
          <t>M</t>
        </is>
      </c>
      <c r="G82" s="11" t="inlineStr">
        <is>
          <t>Low</t>
        </is>
      </c>
      <c r="H82" s="11" t="inlineStr">
        <is>
          <t>DECIDED: future work. Not in the paper; ask the client if the main office tracks collections instead.</t>
        </is>
      </c>
      <c r="I82" s="11" t="inlineStr">
        <is>
          <t>None (not in paper)</t>
        </is>
      </c>
      <c r="J82" s="11" t="inlineStr"/>
      <c r="K82" s="11" t="inlineStr">
        <is>
          <t>Dropped</t>
        </is>
      </c>
    </row>
    <row r="83">
      <c r="A83" s="11" t="n">
        <v>82</v>
      </c>
      <c r="B83" s="11" t="inlineStr">
        <is>
          <t>System</t>
        </is>
      </c>
      <c r="C83" s="11" t="inlineStr">
        <is>
          <t>Report Formats sheet (daily Sales section)</t>
        </is>
      </c>
      <c r="D83" s="11" t="inlineStr">
        <is>
          <t>Pay-in / pay-out (cash drawer in and out) recorded per day</t>
        </is>
      </c>
      <c r="E83" s="11" t="inlineStr">
        <is>
          <t>Missing</t>
        </is>
      </c>
      <c r="F83" s="11" t="inlineStr">
        <is>
          <t>S</t>
        </is>
      </c>
      <c r="G83" s="11" t="inlineStr">
        <is>
          <t>Low</t>
        </is>
      </c>
      <c r="H83" s="11" t="inlineStr">
        <is>
          <t>DECIDED: future work. Both were 0.00 on the sample day; ask if it's used.</t>
        </is>
      </c>
      <c r="I83" s="11" t="inlineStr">
        <is>
          <t>None (not in paper)</t>
        </is>
      </c>
      <c r="J83" s="11" t="inlineStr"/>
      <c r="K83" s="11" t="inlineStr">
        <is>
          <t>Dropped</t>
        </is>
      </c>
    </row>
    <row r="84">
      <c r="A84" s="11" t="n">
        <v>83</v>
      </c>
      <c r="B84" s="11" t="inlineStr">
        <is>
          <t>Decision</t>
        </is>
      </c>
      <c r="C84" s="11" t="inlineStr">
        <is>
          <t>Technical Background (p.35)</t>
        </is>
      </c>
      <c r="D84" s="11" t="inlineStr">
        <is>
          <t>States the AI assistant won't give medical advice: keep only if chat is built.</t>
        </is>
      </c>
      <c r="E84" s="11" t="inlineStr">
        <is>
          <t>Manuscript pass</t>
        </is>
      </c>
      <c r="F84" s="11" t="inlineStr">
        <is>
          <t>S</t>
        </is>
      </c>
      <c r="G84" s="11" t="inlineStr">
        <is>
          <t>Low</t>
        </is>
      </c>
      <c r="H84" s="11" t="inlineStr"/>
      <c r="I84" s="11" t="inlineStr">
        <is>
          <t>None</t>
        </is>
      </c>
      <c r="J84" s="11" t="inlineStr"/>
      <c r="K84" s="11" t="inlineStr">
        <is>
          <t>Open</t>
        </is>
      </c>
    </row>
    <row r="85">
      <c r="A85" s="11" t="n">
        <v>84</v>
      </c>
      <c r="B85" s="11" t="inlineStr">
        <is>
          <t>System</t>
        </is>
      </c>
      <c r="C85" s="11" t="inlineStr">
        <is>
          <t>REQ013, REQ068</t>
        </is>
      </c>
      <c r="D85" s="11" t="inlineStr">
        <is>
          <t>Dosage/usage notes field on products</t>
        </is>
      </c>
      <c r="E85" s="11" t="inlineStr">
        <is>
          <t>Missing</t>
        </is>
      </c>
      <c r="F85" s="11" t="inlineStr">
        <is>
          <t>S</t>
        </is>
      </c>
      <c r="G85" s="11" t="inlineStr">
        <is>
          <t>Low</t>
        </is>
      </c>
      <c r="H85" s="11" t="inlineStr">
        <is>
          <t>DONE 06574da.</t>
        </is>
      </c>
      <c r="I85" s="11" t="inlineStr">
        <is>
          <t>None</t>
        </is>
      </c>
      <c r="J85" s="11" t="inlineStr"/>
      <c r="K85" s="11" t="inlineStr">
        <is>
          <t>Done</t>
        </is>
      </c>
    </row>
    <row r="86">
      <c r="A86" s="11" t="n">
        <v>85</v>
      </c>
      <c r="B86" s="11" t="inlineStr">
        <is>
          <t>System</t>
        </is>
      </c>
      <c r="C86" s="11" t="inlineStr">
        <is>
          <t>REQ049</t>
        </is>
      </c>
      <c r="D86" s="11" t="inlineStr">
        <is>
          <t>Supplier column in the inventory batch table</t>
        </is>
      </c>
      <c r="E86" s="11" t="inlineStr">
        <is>
          <t>Partial</t>
        </is>
      </c>
      <c r="F86" s="11" t="inlineStr">
        <is>
          <t>S</t>
        </is>
      </c>
      <c r="G86" s="11" t="inlineStr">
        <is>
          <t>Low</t>
        </is>
      </c>
      <c r="H86" s="11" t="inlineStr">
        <is>
          <t>DONE 06574da.</t>
        </is>
      </c>
      <c r="I86" s="11" t="inlineStr">
        <is>
          <t>None</t>
        </is>
      </c>
      <c r="J86" s="11" t="inlineStr"/>
      <c r="K86" s="11" t="inlineStr">
        <is>
          <t>Done</t>
        </is>
      </c>
    </row>
    <row r="87">
      <c r="A87" s="11" t="n">
        <v>86</v>
      </c>
      <c r="B87" s="11" t="inlineStr">
        <is>
          <t>System</t>
        </is>
      </c>
      <c r="C87" s="11" t="inlineStr">
        <is>
          <t>REQ103, REQ107</t>
        </is>
      </c>
      <c r="D87" s="11" t="inlineStr">
        <is>
          <t>Delivery: 'copy all' including preferred schedule + order no.; internal delivery notes</t>
        </is>
      </c>
      <c r="E87" s="11" t="inlineStr">
        <is>
          <t>Partial</t>
        </is>
      </c>
      <c r="F87" s="11" t="inlineStr">
        <is>
          <t>S</t>
        </is>
      </c>
      <c r="G87" s="11" t="inlineStr">
        <is>
          <t>Low</t>
        </is>
      </c>
      <c r="H87" s="11" t="inlineStr">
        <is>
          <t>DONE 06574da. Use the notes for rider name/plate/number, which staff currently screenshot privately (Interviews 2-3).</t>
        </is>
      </c>
      <c r="I87" s="11" t="inlineStr">
        <is>
          <t>None</t>
        </is>
      </c>
      <c r="J87" s="11" t="inlineStr"/>
      <c r="K87" s="11" t="inlineStr">
        <is>
          <t>Done</t>
        </is>
      </c>
    </row>
    <row r="88">
      <c r="A88" s="11" t="n">
        <v>87</v>
      </c>
      <c r="B88" s="11" t="inlineStr">
        <is>
          <t>System</t>
        </is>
      </c>
      <c r="C88" s="11" t="inlineStr">
        <is>
          <t>REQ116</t>
        </is>
      </c>
      <c r="D88" s="11" t="inlineStr">
        <is>
          <t>Customer Accounts: list of the customer's orders</t>
        </is>
      </c>
      <c r="E88" s="11" t="inlineStr">
        <is>
          <t>Partial</t>
        </is>
      </c>
      <c r="F88" s="11" t="inlineStr">
        <is>
          <t>S</t>
        </is>
      </c>
      <c r="G88" s="11" t="inlineStr">
        <is>
          <t>Low</t>
        </is>
      </c>
      <c r="H88" s="11" t="inlineStr">
        <is>
          <t>DONE 847c877.</t>
        </is>
      </c>
      <c r="I88" s="11" t="inlineStr">
        <is>
          <t>None</t>
        </is>
      </c>
      <c r="J88" s="11" t="inlineStr"/>
      <c r="K88" s="11" t="inlineStr">
        <is>
          <t>Done</t>
        </is>
      </c>
    </row>
    <row r="89">
      <c r="A89" s="11" t="n">
        <v>88</v>
      </c>
      <c r="B89" s="11" t="inlineStr">
        <is>
          <t>System</t>
        </is>
      </c>
      <c r="C89" s="11" t="inlineStr">
        <is>
          <t>REQ118</t>
        </is>
      </c>
      <c r="D89" s="11" t="inlineStr">
        <is>
          <t>Staff creation uses shared validators; stop silent Administrator -&gt; Branch Manager change</t>
        </is>
      </c>
      <c r="E89" s="11" t="inlineStr">
        <is>
          <t>Bug</t>
        </is>
      </c>
      <c r="F89" s="11" t="inlineStr">
        <is>
          <t>S</t>
        </is>
      </c>
      <c r="G89" s="11" t="inlineStr">
        <is>
          <t>Low</t>
        </is>
      </c>
      <c r="H89" s="11" t="inlineStr">
        <is>
          <t>DONE 847c877. From the first review.</t>
        </is>
      </c>
      <c r="I89" s="11" t="inlineStr">
        <is>
          <t>None</t>
        </is>
      </c>
      <c r="J89" s="11" t="inlineStr"/>
      <c r="K89" s="11" t="inlineStr">
        <is>
          <t>Done</t>
        </is>
      </c>
    </row>
    <row r="90">
      <c r="A90" s="11" t="n">
        <v>89</v>
      </c>
      <c r="B90" s="11" t="inlineStr">
        <is>
          <t>System</t>
        </is>
      </c>
      <c r="C90" s="11" t="inlineStr">
        <is>
          <t>REQ070</t>
        </is>
      </c>
      <c r="D90" s="11" t="inlineStr">
        <is>
          <t>Category rename: replace native prompt() with app dialog</t>
        </is>
      </c>
      <c r="E90" s="11" t="inlineStr">
        <is>
          <t>Polish</t>
        </is>
      </c>
      <c r="F90" s="11" t="inlineStr">
        <is>
          <t>S</t>
        </is>
      </c>
      <c r="G90" s="11" t="inlineStr">
        <is>
          <t>Low</t>
        </is>
      </c>
      <c r="H90" s="11" t="inlineStr">
        <is>
          <t>DONE category tools commit: rename uses the app dialog; deleting a category can move its products. From the first review.</t>
        </is>
      </c>
      <c r="I90" s="11" t="inlineStr">
        <is>
          <t>None</t>
        </is>
      </c>
      <c r="J90" s="11" t="inlineStr"/>
      <c r="K90" s="11" t="inlineStr">
        <is>
          <t>Done</t>
        </is>
      </c>
    </row>
    <row r="91">
      <c r="A91" s="11" t="n">
        <v>90</v>
      </c>
      <c r="B91" s="11" t="inlineStr">
        <is>
          <t>System</t>
        </is>
      </c>
      <c r="C91" s="11" t="inlineStr">
        <is>
          <t>REQ033, REQ093</t>
        </is>
      </c>
      <c r="D91" s="11" t="inlineStr">
        <is>
          <t>Receipt only after verification; show subtotal/credit applied on PDF</t>
        </is>
      </c>
      <c r="E91" s="11" t="inlineStr">
        <is>
          <t>Partial</t>
        </is>
      </c>
      <c r="F91" s="11" t="inlineStr">
        <is>
          <t>S</t>
        </is>
      </c>
      <c r="G91" s="11" t="inlineStr">
        <is>
          <t>Low</t>
        </is>
      </c>
      <c r="H91" s="11" t="inlineStr">
        <is>
          <t>DONE 082ec92. From the first review.</t>
        </is>
      </c>
      <c r="I91" s="11" t="inlineStr">
        <is>
          <t>None</t>
        </is>
      </c>
      <c r="J91" s="11" t="inlineStr"/>
      <c r="K91" s="11" t="inlineStr">
        <is>
          <t>Done</t>
        </is>
      </c>
    </row>
    <row r="92">
      <c r="A92" s="11" t="n">
        <v>91</v>
      </c>
      <c r="B92" s="11" t="inlineStr">
        <is>
          <t>System</t>
        </is>
      </c>
      <c r="C92" s="11" t="inlineStr">
        <is>
          <t>REQ099</t>
        </is>
      </c>
      <c r="D92" s="11" t="inlineStr">
        <is>
          <t>'Payment not received' as its own hold type</t>
        </is>
      </c>
      <c r="E92" s="11" t="inlineStr">
        <is>
          <t>Partial</t>
        </is>
      </c>
      <c r="F92" s="11" t="inlineStr">
        <is>
          <t>S</t>
        </is>
      </c>
      <c r="G92" s="11" t="inlineStr">
        <is>
          <t>Low</t>
        </is>
      </c>
      <c r="H92" s="11" t="inlineStr">
        <is>
          <t>DONE 847c877.</t>
        </is>
      </c>
      <c r="I92" s="11" t="inlineStr">
        <is>
          <t>None</t>
        </is>
      </c>
      <c r="J92" s="11" t="inlineStr"/>
      <c r="K92" s="11" t="inlineStr">
        <is>
          <t>Done</t>
        </is>
      </c>
    </row>
    <row r="93">
      <c r="A93" s="11" t="n">
        <v>92</v>
      </c>
      <c r="B93" s="11" t="inlineStr">
        <is>
          <t>System</t>
        </is>
      </c>
      <c r="C93" s="11" t="inlineStr">
        <is>
          <t>REQ026</t>
        </is>
      </c>
      <c r="D93" s="11" t="inlineStr">
        <is>
          <t>Checkout pick-up notice mentions bringing the original prescription</t>
        </is>
      </c>
      <c r="E93" s="11" t="inlineStr">
        <is>
          <t>Partial</t>
        </is>
      </c>
      <c r="F93" s="11" t="inlineStr">
        <is>
          <t>S</t>
        </is>
      </c>
      <c r="G93" s="11" t="inlineStr">
        <is>
          <t>Low</t>
        </is>
      </c>
      <c r="H93" s="11" t="inlineStr">
        <is>
          <t>DONE 082ec92.</t>
        </is>
      </c>
      <c r="I93" s="11" t="inlineStr">
        <is>
          <t>None</t>
        </is>
      </c>
      <c r="J93" s="11" t="inlineStr"/>
      <c r="K93" s="11" t="inlineStr">
        <is>
          <t>Done</t>
        </is>
      </c>
    </row>
    <row r="94">
      <c r="A94" s="11" t="n">
        <v>93</v>
      </c>
      <c r="B94" s="11" t="inlineStr">
        <is>
          <t>System</t>
        </is>
      </c>
      <c r="C94" s="11" t="inlineStr">
        <is>
          <t>REQ009</t>
        </is>
      </c>
      <c r="D94" s="11" t="inlineStr">
        <is>
          <t>Show quantity in stock on catalog cards</t>
        </is>
      </c>
      <c r="E94" s="11" t="inlineStr">
        <is>
          <t>Partial</t>
        </is>
      </c>
      <c r="F94" s="11" t="inlineStr">
        <is>
          <t>S</t>
        </is>
      </c>
      <c r="G94" s="11" t="inlineStr">
        <is>
          <t>Low</t>
        </is>
      </c>
      <c r="H94" s="11" t="inlineStr">
        <is>
          <t>DONE 06574da.</t>
        </is>
      </c>
      <c r="I94" s="11" t="inlineStr">
        <is>
          <t>None</t>
        </is>
      </c>
      <c r="J94" s="11" t="inlineStr"/>
      <c r="K94" s="11" t="inlineStr">
        <is>
          <t>Done</t>
        </is>
      </c>
    </row>
    <row r="95">
      <c r="A95" s="11" t="n">
        <v>94</v>
      </c>
      <c r="B95" s="11" t="inlineStr">
        <is>
          <t>System</t>
        </is>
      </c>
      <c r="C95" s="11" t="inlineStr">
        <is>
          <t>REQ040</t>
        </is>
      </c>
      <c r="D95" s="11" t="inlineStr">
        <is>
          <t>Profile picture in Account Settings</t>
        </is>
      </c>
      <c r="E95" s="11" t="inlineStr">
        <is>
          <t>Missing</t>
        </is>
      </c>
      <c r="F95" s="11" t="inlineStr">
        <is>
          <t>S</t>
        </is>
      </c>
      <c r="G95" s="11" t="inlineStr">
        <is>
          <t>Low</t>
        </is>
      </c>
      <c r="H95" s="11" t="inlineStr">
        <is>
          <t>DONE 77336f3.</t>
        </is>
      </c>
      <c r="I95" s="11" t="inlineStr">
        <is>
          <t>None</t>
        </is>
      </c>
      <c r="J95" s="11" t="inlineStr"/>
      <c r="K95" s="11" t="inlineStr">
        <is>
          <t>Done</t>
        </is>
      </c>
    </row>
    <row r="96">
      <c r="A96" s="11" t="n">
        <v>95</v>
      </c>
      <c r="B96" s="11" t="inlineStr">
        <is>
          <t>System</t>
        </is>
      </c>
      <c r="C96" s="11" t="inlineStr">
        <is>
          <t>REQNF028</t>
        </is>
      </c>
      <c r="D96" s="11" t="inlineStr">
        <is>
          <t>One date formatter (MM/DD/YYYY, 12-hour) across all screens</t>
        </is>
      </c>
      <c r="E96" s="11" t="inlineStr">
        <is>
          <t>Partial</t>
        </is>
      </c>
      <c r="F96" s="11" t="inlineStr">
        <is>
          <t>S</t>
        </is>
      </c>
      <c r="G96" s="11" t="inlineStr">
        <is>
          <t>Low</t>
        </is>
      </c>
      <c r="H96" s="11" t="inlineStr">
        <is>
          <t>DONE 847c877.</t>
        </is>
      </c>
      <c r="I96" s="11" t="inlineStr">
        <is>
          <t>None</t>
        </is>
      </c>
      <c r="J96" s="11" t="inlineStr"/>
      <c r="K96" s="11" t="inlineStr">
        <is>
          <t>Done</t>
        </is>
      </c>
    </row>
    <row r="97">
      <c r="A97" s="11" t="n">
        <v>96</v>
      </c>
      <c r="B97" s="11" t="inlineStr">
        <is>
          <t>System</t>
        </is>
      </c>
      <c r="C97" s="11" t="inlineStr">
        <is>
          <t>REQ047</t>
        </is>
      </c>
      <c r="D97" s="11" t="inlineStr">
        <is>
          <t>Dashboard 'Active Online Orders' excludes delivered/closed</t>
        </is>
      </c>
      <c r="E97" s="11" t="inlineStr">
        <is>
          <t>Bug</t>
        </is>
      </c>
      <c r="F97" s="11" t="inlineStr">
        <is>
          <t>S</t>
        </is>
      </c>
      <c r="G97" s="11" t="inlineStr">
        <is>
          <t>Low</t>
        </is>
      </c>
      <c r="H97" s="11" t="inlineStr">
        <is>
          <t>DONE d9fc96b: counts verified + dispatched only. From the first review.</t>
        </is>
      </c>
      <c r="I97" s="11" t="inlineStr">
        <is>
          <t>None</t>
        </is>
      </c>
      <c r="J97" s="11" t="inlineStr"/>
      <c r="K97" s="11" t="inlineStr">
        <is>
          <t>Done</t>
        </is>
      </c>
    </row>
    <row r="98">
      <c r="A98" s="11" t="n">
        <v>97</v>
      </c>
      <c r="B98" s="11" t="inlineStr">
        <is>
          <t>System</t>
        </is>
      </c>
      <c r="C98" s="11" t="inlineStr">
        <is>
          <t>REQNF017</t>
        </is>
      </c>
      <c r="D98" s="11" t="inlineStr">
        <is>
          <t>README with setup steps; fix the error message that points to it</t>
        </is>
      </c>
      <c r="E98" s="11" t="inlineStr">
        <is>
          <t>Missing</t>
        </is>
      </c>
      <c r="F98" s="11" t="inlineStr">
        <is>
          <t>S</t>
        </is>
      </c>
      <c r="G98" s="11" t="inlineStr">
        <is>
          <t>Low</t>
        </is>
      </c>
      <c r="H98" s="11" t="inlineStr">
        <is>
          <t>DONE 77336f3. From the first review.</t>
        </is>
      </c>
      <c r="I98" s="11" t="inlineStr">
        <is>
          <t>None</t>
        </is>
      </c>
      <c r="J98" s="11" t="inlineStr"/>
      <c r="K98" s="11" t="inlineStr">
        <is>
          <t>Done</t>
        </is>
      </c>
    </row>
    <row r="99">
      <c r="A99" s="11" t="n">
        <v>98</v>
      </c>
      <c r="B99" s="11" t="inlineStr">
        <is>
          <t>System</t>
        </is>
      </c>
      <c r="C99" s="11" t="inlineStr">
        <is>
          <t>REQ001</t>
        </is>
      </c>
      <c r="D99" s="11" t="inlineStr">
        <is>
          <t>Normalize phone number at registration</t>
        </is>
      </c>
      <c r="E99" s="11" t="inlineStr">
        <is>
          <t>Bug</t>
        </is>
      </c>
      <c r="F99" s="11" t="inlineStr">
        <is>
          <t>S</t>
        </is>
      </c>
      <c r="G99" s="11" t="inlineStr">
        <is>
          <t>Low</t>
        </is>
      </c>
      <c r="H99" s="11" t="inlineStr">
        <is>
          <t>DONE d9fc96b. From the first review.</t>
        </is>
      </c>
      <c r="I99" s="11" t="inlineStr">
        <is>
          <t>None</t>
        </is>
      </c>
      <c r="J99" s="11" t="inlineStr"/>
      <c r="K99" s="11" t="inlineStr">
        <is>
          <t>Done</t>
        </is>
      </c>
    </row>
    <row r="100">
      <c r="A100" s="11" t="n">
        <v>99</v>
      </c>
      <c r="B100" s="11" t="inlineStr">
        <is>
          <t>System</t>
        </is>
      </c>
      <c r="C100" s="11" t="inlineStr">
        <is>
          <t>REQ008; Interview 1</t>
        </is>
      </c>
      <c r="D100" s="11" t="inlineStr">
        <is>
          <t>Store announcements + promotions banner, editable by staff (e.g. closure days)</t>
        </is>
      </c>
      <c r="E100" s="11" t="inlineStr">
        <is>
          <t>Missing</t>
        </is>
      </c>
      <c r="F100" s="11" t="inlineStr">
        <is>
          <t>S</t>
        </is>
      </c>
      <c r="G100" s="11" t="inlineStr">
        <is>
          <t>Low</t>
        </is>
      </c>
      <c r="H100" s="11" t="inlineStr"/>
      <c r="I100" s="11" t="inlineStr">
        <is>
          <t>None</t>
        </is>
      </c>
      <c r="J100" s="11" t="inlineStr"/>
      <c r="K100" s="11" t="inlineStr">
        <is>
          <t>Open</t>
        </is>
      </c>
    </row>
    <row r="101">
      <c r="A101" s="11" t="n">
        <v>100</v>
      </c>
      <c r="B101" s="11" t="inlineStr">
        <is>
          <t>System</t>
        </is>
      </c>
      <c r="C101" s="11" t="inlineStr">
        <is>
          <t>REQ031</t>
        </is>
      </c>
      <c r="D101" s="11" t="inlineStr">
        <is>
          <t>Show invalid-payment holds to customers as 'Payment Rejected - re-upload needed'</t>
        </is>
      </c>
      <c r="E101" s="11" t="inlineStr">
        <is>
          <t>Partial</t>
        </is>
      </c>
      <c r="F101" s="11" t="inlineStr">
        <is>
          <t>S</t>
        </is>
      </c>
      <c r="G101" s="11" t="inlineStr">
        <is>
          <t>Low</t>
        </is>
      </c>
      <c r="H101" s="11" t="inlineStr">
        <is>
          <t>DONE d9fc96b: customer badges show Payment Rejected / Balance Due / Out of Stock / Prescription Rejected. Keeps the paper's status name (no letter).</t>
        </is>
      </c>
      <c r="I101" s="11" t="inlineStr">
        <is>
          <t>None</t>
        </is>
      </c>
      <c r="J101" s="11" t="inlineStr"/>
      <c r="K101" s="11" t="inlineStr">
        <is>
          <t>Done</t>
        </is>
      </c>
    </row>
    <row r="102">
      <c r="A102" s="11" t="n">
        <v>101</v>
      </c>
      <c r="B102" s="11" t="inlineStr">
        <is>
          <t>System</t>
        </is>
      </c>
      <c r="C102" s="11" t="inlineStr">
        <is>
          <t>Technical Background p.35-37</t>
        </is>
      </c>
      <c r="D102" s="11" t="inlineStr">
        <is>
          <t>Inventory movement chart on the dashboard (stock in/out over the period)</t>
        </is>
      </c>
      <c r="E102" s="11" t="inlineStr">
        <is>
          <t>Missing</t>
        </is>
      </c>
      <c r="F102" s="11" t="inlineStr">
        <is>
          <t>S</t>
        </is>
      </c>
      <c r="G102" s="11" t="inlineStr">
        <is>
          <t>Low</t>
        </is>
      </c>
      <c r="H102" s="11" t="inlineStr">
        <is>
          <t>Keeps the Chart.js claim (no letter).</t>
        </is>
      </c>
      <c r="I102" s="11" t="inlineStr">
        <is>
          <t>None</t>
        </is>
      </c>
      <c r="J102" s="11" t="inlineStr"/>
      <c r="K102" s="11" t="inlineStr">
        <is>
          <t>Open</t>
        </is>
      </c>
    </row>
    <row r="103">
      <c r="A103" s="11" t="n">
        <v>102</v>
      </c>
      <c r="B103" s="11" t="inlineStr">
        <is>
          <t>System</t>
        </is>
      </c>
      <c r="C103" s="11" t="inlineStr">
        <is>
          <t>Modules p.42</t>
        </is>
      </c>
      <c r="D103" s="11" t="inlineStr">
        <is>
          <t>Price lock/unlock toggle per product (Branch Manager only)</t>
        </is>
      </c>
      <c r="E103" s="11" t="inlineStr">
        <is>
          <t>Missing</t>
        </is>
      </c>
      <c r="F103" s="11" t="inlineStr">
        <is>
          <t>S</t>
        </is>
      </c>
      <c r="G103" s="11" t="inlineStr">
        <is>
          <t>Low</t>
        </is>
      </c>
      <c r="H103" s="11" t="inlineStr">
        <is>
          <t>DONE Lock/Unlock prices button for the Branch Manager in Edit Product. Keeps 'price locking' (no letter).</t>
        </is>
      </c>
      <c r="I103" s="11" t="inlineStr">
        <is>
          <t>None</t>
        </is>
      </c>
      <c r="J103" s="11" t="inlineStr"/>
      <c r="K103" s="11" t="inlineStr">
        <is>
          <t>Done</t>
        </is>
      </c>
    </row>
    <row r="104">
      <c r="A104" s="11" t="n">
        <v>103</v>
      </c>
      <c r="B104" s="11" t="inlineStr">
        <is>
          <t>System</t>
        </is>
      </c>
      <c r="C104" s="11" t="inlineStr">
        <is>
          <t>Theoretical Framework p.23</t>
        </is>
      </c>
      <c r="D104" s="11" t="inlineStr">
        <is>
          <t>Browser notifications for staff alerts (new order, pending payment, expiry, low stock)</t>
        </is>
      </c>
      <c r="E104" s="11" t="inlineStr">
        <is>
          <t>Missing</t>
        </is>
      </c>
      <c r="F104" s="11" t="inlineStr">
        <is>
          <t>S</t>
        </is>
      </c>
      <c r="G104" s="11" t="inlineStr">
        <is>
          <t>Low</t>
        </is>
      </c>
      <c r="H104" s="11" t="inlineStr">
        <is>
          <t>Keeps the 'push notifications' claim (no letter).</t>
        </is>
      </c>
      <c r="I104" s="11" t="inlineStr">
        <is>
          <t>None</t>
        </is>
      </c>
      <c r="J104" s="11" t="inlineStr"/>
      <c r="K104" s="11" t="inlineStr">
        <is>
          <t>Open</t>
        </is>
      </c>
    </row>
    <row r="105">
      <c r="A105" s="11" t="n">
        <v>104</v>
      </c>
      <c r="B105" s="11" t="inlineStr">
        <is>
          <t>System</t>
        </is>
      </c>
      <c r="C105" s="11" t="inlineStr">
        <is>
          <t>REQ039, Fig 2.10, C16</t>
        </is>
      </c>
      <c r="D105" s="11" t="inlineStr">
        <is>
          <t>Order-placed notification in the customer's bell (no database rule change needed if derived from order status)</t>
        </is>
      </c>
      <c r="E105" s="11" t="inlineStr">
        <is>
          <t>Missing</t>
        </is>
      </c>
      <c r="F105" s="11" t="inlineStr">
        <is>
          <t>S</t>
        </is>
      </c>
      <c r="G105" s="11" t="inlineStr">
        <is>
          <t>Low</t>
        </is>
      </c>
      <c r="H105" s="11" t="inlineStr"/>
      <c r="I105" s="11" t="inlineStr">
        <is>
          <t>None</t>
        </is>
      </c>
      <c r="J105" s="11" t="inlineStr"/>
      <c r="K105" s="11" t="inlineStr">
        <is>
          <t>Open</t>
        </is>
      </c>
    </row>
    <row r="106">
      <c r="A106" s="11" t="n">
        <v>105</v>
      </c>
      <c r="B106" s="11" t="inlineStr">
        <is>
          <t>System</t>
        </is>
      </c>
      <c r="C106" s="11" t="inlineStr">
        <is>
          <t>System roles (-)</t>
        </is>
      </c>
      <c r="D106" s="11" t="inlineStr">
        <is>
          <t>The system also has a legacy 'Administrator' role that the paper never mentions. Hide it from the UI or document it.</t>
        </is>
      </c>
      <c r="E106" s="11" t="inlineStr">
        <is>
          <t>Manuscript pass</t>
        </is>
      </c>
      <c r="F106" s="11" t="inlineStr">
        <is>
          <t>S</t>
        </is>
      </c>
      <c r="G106" s="11" t="inlineStr">
        <is>
          <t>Low</t>
        </is>
      </c>
      <c r="H106" s="11" t="inlineStr"/>
      <c r="I106" s="11" t="inlineStr">
        <is>
          <t>None</t>
        </is>
      </c>
      <c r="J106" s="11" t="inlineStr"/>
      <c r="K106" s="11" t="inlineStr">
        <is>
          <t>Open</t>
        </is>
      </c>
    </row>
    <row r="107">
      <c r="A107" s="11" t="n">
        <v>106</v>
      </c>
      <c r="B107" s="11" t="inlineStr">
        <is>
          <t>System + paper</t>
        </is>
      </c>
      <c r="C107" s="11" t="inlineStr">
        <is>
          <t>Whole paper + system (-)</t>
        </is>
      </c>
      <c r="D107" s="11" t="inlineStr">
        <is>
          <t>'QR PH' in the paper and most screens, 'QR Ph' on the payment page image text. The official name is 'QR Ph'; pick one everywhere.</t>
        </is>
      </c>
      <c r="E107" s="11" t="inlineStr">
        <is>
          <t>Manuscript pass</t>
        </is>
      </c>
      <c r="F107" s="11" t="inlineStr">
        <is>
          <t>S</t>
        </is>
      </c>
      <c r="G107" s="11" t="inlineStr">
        <is>
          <t>Low</t>
        </is>
      </c>
      <c r="H107" s="11" t="inlineStr"/>
      <c r="I107" s="11" t="inlineStr">
        <is>
          <t>Corrects / rewords</t>
        </is>
      </c>
      <c r="J107" s="11" t="inlineStr"/>
      <c r="K107" s="11" t="inlineStr">
        <is>
          <t>Open</t>
        </is>
      </c>
    </row>
    <row r="108">
      <c r="A108" s="11" t="n">
        <v>107</v>
      </c>
      <c r="B108" s="11" t="inlineStr">
        <is>
          <t>Paper</t>
        </is>
      </c>
      <c r="C108" s="11" t="inlineStr">
        <is>
          <t>Modules FEFO p.41</t>
        </is>
      </c>
      <c r="D108" s="11" t="inlineStr">
        <is>
          <t>Add the 2-month Bad Order step (C7).</t>
        </is>
      </c>
      <c r="E108" s="11" t="inlineStr">
        <is>
          <t>Paper edit</t>
        </is>
      </c>
      <c r="F108" s="11" t="inlineStr">
        <is>
          <t>S</t>
        </is>
      </c>
      <c r="G108" s="11" t="inlineStr">
        <is>
          <t>Low</t>
        </is>
      </c>
      <c r="H108" s="11" t="inlineStr">
        <is>
          <t>See Contradictions / Paper Edits</t>
        </is>
      </c>
      <c r="I108" s="11" t="inlineStr">
        <is>
          <t>Corrects / rewords</t>
        </is>
      </c>
      <c r="J108" s="11" t="inlineStr"/>
      <c r="K108" s="11" t="inlineStr">
        <is>
          <t>Open</t>
        </is>
      </c>
    </row>
    <row r="109">
      <c r="A109" s="11" t="n">
        <v>108</v>
      </c>
      <c r="B109" s="11" t="inlineStr">
        <is>
          <t>Paper</t>
        </is>
      </c>
      <c r="C109" s="11" t="inlineStr">
        <is>
          <t>Technical Background p.35-37; Budget p.99</t>
        </is>
      </c>
      <c r="D109" s="11" t="inlineStr">
        <is>
          <t>Cloudinary instead of Firebase Storage; Choices.js added; DataTable removed; hosting per decision (Tech Stack sheet).</t>
        </is>
      </c>
      <c r="E109" s="11" t="inlineStr">
        <is>
          <t>Paper edit</t>
        </is>
      </c>
      <c r="F109" s="11" t="inlineStr">
        <is>
          <t>S</t>
        </is>
      </c>
      <c r="G109" s="11" t="inlineStr">
        <is>
          <t>Low</t>
        </is>
      </c>
      <c r="H109" s="11" t="inlineStr">
        <is>
          <t>See Contradictions / Paper Edits</t>
        </is>
      </c>
      <c r="I109" s="12" t="inlineStr">
        <is>
          <t>REMOVES / narrows - see Removals (Letter)</t>
        </is>
      </c>
      <c r="J109" s="11" t="inlineStr"/>
      <c r="K109" s="11" t="inlineStr">
        <is>
          <t>Open</t>
        </is>
      </c>
    </row>
    <row r="110">
      <c r="A110" s="11" t="n">
        <v>109</v>
      </c>
      <c r="B110" s="11" t="inlineStr">
        <is>
          <t>Paper</t>
        </is>
      </c>
      <c r="C110" s="11" t="inlineStr">
        <is>
          <t>Scope p.6; Product Browsing REQ009</t>
        </is>
      </c>
      <c r="D110" s="11" t="inlineStr">
        <is>
          <t>The client also sells medical supplies and grocery items (monthly report); the paper only mentions OTC/prescription medicines. Mention them, or exclude them on purpose.</t>
        </is>
      </c>
      <c r="E110" s="11" t="inlineStr">
        <is>
          <t>Paper edit</t>
        </is>
      </c>
      <c r="F110" s="11" t="inlineStr">
        <is>
          <t>S</t>
        </is>
      </c>
      <c r="G110" s="11" t="inlineStr">
        <is>
          <t>Low</t>
        </is>
      </c>
      <c r="H110" s="11" t="inlineStr">
        <is>
          <t>See Contradictions / Paper Edits</t>
        </is>
      </c>
      <c r="I110" s="11" t="inlineStr">
        <is>
          <t>Adds</t>
        </is>
      </c>
      <c r="J110" s="11" t="inlineStr"/>
      <c r="K110" s="11" t="inlineStr">
        <is>
          <t>Open</t>
        </is>
      </c>
    </row>
    <row r="111">
      <c r="A111" s="11" t="n">
        <v>110</v>
      </c>
      <c r="B111" s="11" t="inlineStr">
        <is>
          <t>Paper</t>
        </is>
      </c>
      <c r="C111" s="11" t="inlineStr">
        <is>
          <t>Scope and Limitations p.7</t>
        </is>
      </c>
      <c r="D111" s="11" t="inlineStr">
        <is>
          <t>Add: system receipts/invoices are internal records, not BIR-registered official receipts; BIR/VAT receipts stay manual on request; no BIR or government integration (client policy, Interview 1).</t>
        </is>
      </c>
      <c r="E111" s="11" t="inlineStr">
        <is>
          <t>Paper edit</t>
        </is>
      </c>
      <c r="F111" s="11" t="inlineStr">
        <is>
          <t>S</t>
        </is>
      </c>
      <c r="G111" s="11" t="inlineStr">
        <is>
          <t>Low</t>
        </is>
      </c>
      <c r="H111" s="11" t="inlineStr">
        <is>
          <t>See Contradictions / Paper Edits</t>
        </is>
      </c>
      <c r="I111" s="11" t="inlineStr">
        <is>
          <t>Adds</t>
        </is>
      </c>
      <c r="J111" s="11" t="inlineStr"/>
      <c r="K111" s="11" t="inlineStr">
        <is>
          <t>Open</t>
        </is>
      </c>
    </row>
    <row r="112">
      <c r="A112" s="11" t="n">
        <v>111</v>
      </c>
      <c r="B112" s="11" t="inlineStr">
        <is>
          <t>Paper</t>
        </is>
      </c>
      <c r="C112" s="11" t="inlineStr">
        <is>
          <t>Decision-dependent</t>
        </is>
      </c>
      <c r="D112" s="11" t="inlineStr">
        <is>
          <t>Live chat/AI (Obj. 1, Scope, Framework, REQ035-038, REQ108-110, NF008, NF012); real-time refresh (NF005); hosting (NF013); wholesale price visibility (REQ088).</t>
        </is>
      </c>
      <c r="E112" s="11" t="inlineStr">
        <is>
          <t>Paper edit</t>
        </is>
      </c>
      <c r="F112" s="11" t="inlineStr">
        <is>
          <t>S</t>
        </is>
      </c>
      <c r="G112" s="11" t="inlineStr">
        <is>
          <t>Low</t>
        </is>
      </c>
      <c r="H112" s="11" t="inlineStr">
        <is>
          <t>DECIDED: build it on Gemini via Firebase AI Logic (free tier), swappable to Groq; FAQ answers without AI calls; staff handoff when the free limit is hit. Verify the project's limit in AI Studio first. See Contradictions / Paper Edits</t>
        </is>
      </c>
      <c r="I112" s="11" t="inlineStr">
        <is>
          <t>Corrects / rewords</t>
        </is>
      </c>
      <c r="J112" s="11" t="inlineStr"/>
      <c r="K112" s="11" t="inlineStr">
        <is>
          <t>Open</t>
        </is>
      </c>
    </row>
    <row r="113">
      <c r="A113" s="11" t="n">
        <v>112</v>
      </c>
      <c r="B113" s="11" t="inlineStr">
        <is>
          <t>Paper</t>
        </is>
      </c>
      <c r="C113" s="11" t="inlineStr">
        <is>
          <t>Whole paper (-)</t>
        </is>
      </c>
      <c r="D113" s="11" t="inlineStr">
        <is>
          <t>Spelling consistency: 'Fulfilment' on the cover vs 'fulfillment' elsewhere.</t>
        </is>
      </c>
      <c r="E113" s="11" t="inlineStr">
        <is>
          <t>Manuscript pass</t>
        </is>
      </c>
      <c r="F113" s="11" t="inlineStr">
        <is>
          <t>S</t>
        </is>
      </c>
      <c r="G113" s="11" t="inlineStr">
        <is>
          <t>Low</t>
        </is>
      </c>
      <c r="H113" s="11" t="inlineStr"/>
      <c r="I113" s="11" t="inlineStr">
        <is>
          <t>Corrects / rewords</t>
        </is>
      </c>
      <c r="J113" s="11" t="inlineStr"/>
      <c r="K113" s="11" t="inlineStr">
        <is>
          <t>Open</t>
        </is>
      </c>
    </row>
    <row r="114">
      <c r="A114" s="11" t="n">
        <v>113</v>
      </c>
      <c r="B114" s="11" t="inlineStr">
        <is>
          <t>Paper</t>
        </is>
      </c>
      <c r="C114" s="11" t="inlineStr">
        <is>
          <t>Scope (p.6)</t>
        </is>
      </c>
      <c r="D114" s="11" t="inlineStr">
        <is>
          <t>'Intended to serve retail customers, wholesale clients, branch staff, and main office management': wholesale clients and the main office never log in. Reword to 'staff record wholesale transactions; reports are submitted to the main office'.</t>
        </is>
      </c>
      <c r="E114" s="11" t="inlineStr">
        <is>
          <t>Manuscript pass</t>
        </is>
      </c>
      <c r="F114" s="11" t="inlineStr">
        <is>
          <t>S</t>
        </is>
      </c>
      <c r="G114" s="11" t="inlineStr">
        <is>
          <t>Low</t>
        </is>
      </c>
      <c r="H114" s="11" t="inlineStr"/>
      <c r="I114" s="12" t="inlineStr">
        <is>
          <t>REMOVES / narrows - see Removals (Letter)</t>
        </is>
      </c>
      <c r="J114" s="11" t="inlineStr"/>
      <c r="K114" s="11" t="inlineStr">
        <is>
          <t>Open</t>
        </is>
      </c>
    </row>
    <row r="115">
      <c r="A115" s="11" t="n">
        <v>114</v>
      </c>
      <c r="B115" s="11" t="inlineStr">
        <is>
          <t>Paper</t>
        </is>
      </c>
      <c r="C115" s="11" t="inlineStr">
        <is>
          <t>Theoretical Framework (p.22-23)</t>
        </is>
      </c>
      <c r="D115" s="11" t="inlineStr">
        <is>
          <t>Mentions 'instantaneous push notifications for near-expiry supplies'; the system has an in-app notification bell, not push notifications. Reword.</t>
        </is>
      </c>
      <c r="E115" s="11" t="inlineStr">
        <is>
          <t>Manuscript pass</t>
        </is>
      </c>
      <c r="F115" s="11" t="inlineStr">
        <is>
          <t>S</t>
        </is>
      </c>
      <c r="G115" s="11" t="inlineStr">
        <is>
          <t>Low</t>
        </is>
      </c>
      <c r="H115" s="11" t="inlineStr"/>
      <c r="I115" s="12" t="inlineStr">
        <is>
          <t>REMOVES / narrows - see Removals (Letter)</t>
        </is>
      </c>
      <c r="J115" s="11" t="inlineStr"/>
      <c r="K115" s="11" t="inlineStr">
        <is>
          <t>Open</t>
        </is>
      </c>
    </row>
    <row r="116">
      <c r="A116" s="11" t="n">
        <v>115</v>
      </c>
      <c r="B116" s="11" t="inlineStr">
        <is>
          <t>Paper</t>
        </is>
      </c>
      <c r="C116" s="11" t="inlineStr">
        <is>
          <t>Methodology: sprint plan (p.32)</t>
        </is>
      </c>
      <c r="D116" s="11" t="inlineStr">
        <is>
          <t>Phase 4 (customer side) lists the 'one-click copy feature for delivery details' under My Orders; that's an admin Delivery feature (also listed in Phase 6). Remove it from Phase 4.</t>
        </is>
      </c>
      <c r="E116" s="11" t="inlineStr">
        <is>
          <t>Manuscript pass</t>
        </is>
      </c>
      <c r="F116" s="11" t="inlineStr">
        <is>
          <t>S</t>
        </is>
      </c>
      <c r="G116" s="11" t="inlineStr">
        <is>
          <t>Low</t>
        </is>
      </c>
      <c r="H116" s="11" t="inlineStr"/>
      <c r="I116" s="11" t="inlineStr">
        <is>
          <t>Corrects / rewords</t>
        </is>
      </c>
      <c r="J116" s="11" t="inlineStr"/>
      <c r="K116" s="11" t="inlineStr">
        <is>
          <t>Open</t>
        </is>
      </c>
    </row>
    <row r="117">
      <c r="A117" s="11" t="n">
        <v>116</v>
      </c>
      <c r="B117" s="11" t="inlineStr">
        <is>
          <t>Paper</t>
        </is>
      </c>
      <c r="C117" s="11" t="inlineStr">
        <is>
          <t>Technical Background (p.35)</t>
        </is>
      </c>
      <c r="D117" s="11" t="inlineStr">
        <is>
          <t>Say 'Cloud Firestore' instead of 'real-time database', and Cloudinary instead of Firebase cloud storage for images.</t>
        </is>
      </c>
      <c r="E117" s="11" t="inlineStr">
        <is>
          <t>Manuscript pass</t>
        </is>
      </c>
      <c r="F117" s="11" t="inlineStr">
        <is>
          <t>S</t>
        </is>
      </c>
      <c r="G117" s="11" t="inlineStr">
        <is>
          <t>Low</t>
        </is>
      </c>
      <c r="H117" s="11" t="inlineStr"/>
      <c r="I117" s="11" t="inlineStr">
        <is>
          <t>Corrects / rewords</t>
        </is>
      </c>
      <c r="J117" s="11" t="inlineStr"/>
      <c r="K117" s="11" t="inlineStr">
        <is>
          <t>Open</t>
        </is>
      </c>
    </row>
    <row r="118">
      <c r="A118" s="11" t="n">
        <v>117</v>
      </c>
      <c r="B118" s="11" t="inlineStr">
        <is>
          <t>Paper</t>
        </is>
      </c>
      <c r="C118" s="11" t="inlineStr">
        <is>
          <t>Technical Background (p.35-36)</t>
        </is>
      </c>
      <c r="D118" s="11" t="inlineStr">
        <is>
          <t>EmailJS listed for order confirmations and password reset links: password reset is Firebase Auth; order emails depend on REQ039.</t>
        </is>
      </c>
      <c r="E118" s="11" t="inlineStr">
        <is>
          <t>Manuscript pass</t>
        </is>
      </c>
      <c r="F118" s="11" t="inlineStr">
        <is>
          <t>S</t>
        </is>
      </c>
      <c r="G118" s="11" t="inlineStr">
        <is>
          <t>Low</t>
        </is>
      </c>
      <c r="H118" s="11" t="inlineStr"/>
      <c r="I118" s="12" t="inlineStr">
        <is>
          <t>REMOVES / narrows - see Removals (Letter)</t>
        </is>
      </c>
      <c r="J118" s="11" t="inlineStr"/>
      <c r="K118" s="11" t="inlineStr">
        <is>
          <t>Open</t>
        </is>
      </c>
    </row>
    <row r="119">
      <c r="A119" s="11" t="n">
        <v>118</v>
      </c>
      <c r="B119" s="11" t="inlineStr">
        <is>
          <t>Paper</t>
        </is>
      </c>
      <c r="C119" s="11" t="inlineStr">
        <is>
          <t>Technical Background (p.35-36)</t>
        </is>
      </c>
      <c r="D119" s="11" t="inlineStr">
        <is>
          <t>Chart.js listed for 'inventory movement data': dashboard charts are sales only (inventory uses count tiles). Reword or add an inventory chart.</t>
        </is>
      </c>
      <c r="E119" s="11" t="inlineStr">
        <is>
          <t>Manuscript pass</t>
        </is>
      </c>
      <c r="F119" s="11" t="inlineStr">
        <is>
          <t>S</t>
        </is>
      </c>
      <c r="G119" s="11" t="inlineStr">
        <is>
          <t>Low</t>
        </is>
      </c>
      <c r="H119" s="11" t="inlineStr"/>
      <c r="I119" s="12" t="inlineStr">
        <is>
          <t>REMOVES / narrows - see Removals (Letter)</t>
        </is>
      </c>
      <c r="J119" s="11" t="inlineStr"/>
      <c r="K119" s="11" t="inlineStr">
        <is>
          <t>Open</t>
        </is>
      </c>
    </row>
    <row r="120">
      <c r="A120" s="11" t="n">
        <v>119</v>
      </c>
      <c r="B120" s="11" t="inlineStr">
        <is>
          <t>Paper</t>
        </is>
      </c>
      <c r="C120" s="11" t="inlineStr">
        <is>
          <t>Technical Background (p.35, 37)</t>
        </is>
      </c>
      <c r="D120" s="11" t="inlineStr">
        <is>
          <t>DataTable listed; tables are custom-built. Remove or reword.</t>
        </is>
      </c>
      <c r="E120" s="11" t="inlineStr">
        <is>
          <t>Manuscript pass</t>
        </is>
      </c>
      <c r="F120" s="11" t="inlineStr">
        <is>
          <t>S</t>
        </is>
      </c>
      <c r="G120" s="11" t="inlineStr">
        <is>
          <t>Low</t>
        </is>
      </c>
      <c r="H120" s="11" t="inlineStr"/>
      <c r="I120" s="12" t="inlineStr">
        <is>
          <t>REMOVES / narrows - see Removals (Letter)</t>
        </is>
      </c>
      <c r="J120" s="11" t="inlineStr"/>
      <c r="K120" s="11" t="inlineStr">
        <is>
          <t>Open</t>
        </is>
      </c>
    </row>
    <row r="121">
      <c r="A121" s="11" t="n">
        <v>120</v>
      </c>
      <c r="B121" s="11" t="inlineStr">
        <is>
          <t>Paper</t>
        </is>
      </c>
      <c r="C121" s="11" t="inlineStr">
        <is>
          <t>Technical Background: Software (p.36-38)</t>
        </is>
      </c>
      <c r="D121" s="11" t="inlineStr">
        <is>
          <t>Missing tools actually used: Cloudinary (images), Choices.js (searchable dropdowns), Bootstrap Icons, Google Fonts (Roboto), Git/GitHub (version control), Node.js http-server (local serving).</t>
        </is>
      </c>
      <c r="E121" s="11" t="inlineStr">
        <is>
          <t>Manuscript pass</t>
        </is>
      </c>
      <c r="F121" s="11" t="inlineStr">
        <is>
          <t>S</t>
        </is>
      </c>
      <c r="G121" s="11" t="inlineStr">
        <is>
          <t>Low</t>
        </is>
      </c>
      <c r="H121" s="11" t="inlineStr"/>
      <c r="I121" s="11" t="inlineStr">
        <is>
          <t>Adds</t>
        </is>
      </c>
      <c r="J121" s="11" t="inlineStr"/>
      <c r="K121" s="11" t="inlineStr">
        <is>
          <t>Open</t>
        </is>
      </c>
    </row>
    <row r="122">
      <c r="A122" s="11" t="n">
        <v>121</v>
      </c>
      <c r="B122" s="11" t="inlineStr">
        <is>
          <t>Paper</t>
        </is>
      </c>
      <c r="C122" s="11" t="inlineStr">
        <is>
          <t>Technical Background: Software (p.38)</t>
        </is>
      </c>
      <c r="D122" s="11" t="inlineStr">
        <is>
          <t>Canva is listed for mockups, but the Gantt chart says 'Creation of Figma'. Use one tool name.</t>
        </is>
      </c>
      <c r="E122" s="11" t="inlineStr">
        <is>
          <t>Manuscript pass</t>
        </is>
      </c>
      <c r="F122" s="11" t="inlineStr">
        <is>
          <t>S</t>
        </is>
      </c>
      <c r="G122" s="11" t="inlineStr">
        <is>
          <t>Low</t>
        </is>
      </c>
      <c r="H122" s="11" t="inlineStr"/>
      <c r="I122" s="11" t="inlineStr">
        <is>
          <t>Corrects / rewords</t>
        </is>
      </c>
      <c r="J122" s="11" t="inlineStr"/>
      <c r="K122" s="11" t="inlineStr">
        <is>
          <t>Open</t>
        </is>
      </c>
    </row>
    <row r="123">
      <c r="A123" s="11" t="n">
        <v>122</v>
      </c>
      <c r="B123" s="11" t="inlineStr">
        <is>
          <t>Paper</t>
        </is>
      </c>
      <c r="C123" s="11" t="inlineStr">
        <is>
          <t>Modules: Price Management (p.42)</t>
        </is>
      </c>
      <c r="D123" s="11" t="inlineStr">
        <is>
          <t>'Allows price locking': the lock is the Branch Manager-only rule (no separate lock switch). Reword, or add a lock toggle.</t>
        </is>
      </c>
      <c r="E123" s="11" t="inlineStr">
        <is>
          <t>Manuscript pass</t>
        </is>
      </c>
      <c r="F123" s="11" t="inlineStr">
        <is>
          <t>S</t>
        </is>
      </c>
      <c r="G123" s="11" t="inlineStr">
        <is>
          <t>Low</t>
        </is>
      </c>
      <c r="H123" s="11" t="inlineStr"/>
      <c r="I123" s="12" t="inlineStr">
        <is>
          <t>REMOVES / narrows - see Removals (Letter)</t>
        </is>
      </c>
      <c r="J123" s="11" t="inlineStr"/>
      <c r="K123" s="11" t="inlineStr">
        <is>
          <t>Open</t>
        </is>
      </c>
    </row>
    <row r="124">
      <c r="A124" s="11" t="n">
        <v>123</v>
      </c>
      <c r="B124" s="11" t="inlineStr">
        <is>
          <t>Paper</t>
        </is>
      </c>
      <c r="C124" s="11" t="inlineStr">
        <is>
          <t>Wireframes (Figs 2.16-2.21) (p.92-95)</t>
        </is>
      </c>
      <c r="D124" s="11" t="inlineStr">
        <is>
          <t>Not compared yet. Replace with real screenshots, or keep them labelled as early wireframes.</t>
        </is>
      </c>
      <c r="E124" s="11" t="inlineStr">
        <is>
          <t>Manuscript pass</t>
        </is>
      </c>
      <c r="F124" s="11" t="inlineStr">
        <is>
          <t>S</t>
        </is>
      </c>
      <c r="G124" s="11" t="inlineStr">
        <is>
          <t>Low</t>
        </is>
      </c>
      <c r="H124" s="11" t="inlineStr"/>
      <c r="I124" s="11" t="inlineStr">
        <is>
          <t>Corrects / rewords</t>
        </is>
      </c>
      <c r="J124" s="11" t="inlineStr"/>
      <c r="K124" s="11" t="inlineStr">
        <is>
          <t>Open</t>
        </is>
      </c>
    </row>
    <row r="125">
      <c r="A125" s="11" t="n">
        <v>124</v>
      </c>
      <c r="B125" s="11" t="inlineStr">
        <is>
          <t>Paper</t>
        </is>
      </c>
      <c r="C125" s="11" t="inlineStr">
        <is>
          <t>Calendar of Activities (p.97-98)</t>
        </is>
      </c>
      <c r="D125" s="11" t="inlineStr">
        <is>
          <t>Add rows for work actually done (POS, inventory, payment verification, wholesale, reports, testing) and mark 'System Deployment' per the hosting decision.</t>
        </is>
      </c>
      <c r="E125" s="11" t="inlineStr">
        <is>
          <t>Manuscript pass</t>
        </is>
      </c>
      <c r="F125" s="11" t="inlineStr">
        <is>
          <t>S</t>
        </is>
      </c>
      <c r="G125" s="11" t="inlineStr">
        <is>
          <t>Low</t>
        </is>
      </c>
      <c r="H125" s="11" t="inlineStr"/>
      <c r="I125" s="11" t="inlineStr">
        <is>
          <t>Corrects / rewords</t>
        </is>
      </c>
      <c r="J125" s="11" t="inlineStr"/>
      <c r="K125" s="11" t="inlineStr">
        <is>
          <t>Open</t>
        </is>
      </c>
    </row>
    <row r="126">
      <c r="A126" s="11" t="n">
        <v>125</v>
      </c>
      <c r="B126" s="11" t="inlineStr">
        <is>
          <t>Paper</t>
        </is>
      </c>
      <c r="C126" s="11" t="inlineStr">
        <is>
          <t>Budgetary Estimate (p.99)</t>
        </is>
      </c>
      <c r="D126" s="11" t="inlineStr">
        <is>
          <t>Total ₱31,790.08 checks out. Missing: Cloudinary (free), OpenAI API (pay-per-use, if chat is built), thermal printer (if printing is in scope).</t>
        </is>
      </c>
      <c r="E126" s="11" t="inlineStr">
        <is>
          <t>Manuscript pass</t>
        </is>
      </c>
      <c r="F126" s="11" t="inlineStr">
        <is>
          <t>S</t>
        </is>
      </c>
      <c r="G126" s="11" t="inlineStr">
        <is>
          <t>Low</t>
        </is>
      </c>
      <c r="H126" s="11" t="inlineStr"/>
      <c r="I126" s="11" t="inlineStr">
        <is>
          <t>Corrects / rewords</t>
        </is>
      </c>
      <c r="J126" s="11" t="inlineStr"/>
      <c r="K126" s="11" t="inlineStr">
        <is>
          <t>Open</t>
        </is>
      </c>
    </row>
    <row r="127">
      <c r="A127" s="11" t="n">
        <v>126</v>
      </c>
      <c r="B127" s="11" t="inlineStr">
        <is>
          <t>Paper</t>
        </is>
      </c>
      <c r="C127" s="11" t="inlineStr">
        <is>
          <t>Budgetary Estimate (p.99)</t>
        </is>
      </c>
      <c r="D127" s="11" t="inlineStr">
        <is>
          <t>Domain name ₱841.08 and Firebase Blaze ₱200: keep only if actually bought/used. Netlify is listed as free, but deployment was blocked by billing; make these consistent.</t>
        </is>
      </c>
      <c r="E127" s="11" t="inlineStr">
        <is>
          <t>Manuscript pass</t>
        </is>
      </c>
      <c r="F127" s="11" t="inlineStr">
        <is>
          <t>S</t>
        </is>
      </c>
      <c r="G127" s="11" t="inlineStr">
        <is>
          <t>Low</t>
        </is>
      </c>
      <c r="H127" s="11" t="inlineStr"/>
      <c r="I127" s="11" t="inlineStr">
        <is>
          <t>Corrects / rewords</t>
        </is>
      </c>
      <c r="J127" s="11" t="inlineStr"/>
      <c r="K127" s="11" t="inlineStr">
        <is>
          <t>Open</t>
        </is>
      </c>
    </row>
    <row r="128">
      <c r="A128" s="11" t="n">
        <v>127</v>
      </c>
      <c r="B128" s="11" t="inlineStr">
        <is>
          <t>Paper</t>
        </is>
      </c>
      <c r="C128" s="11" t="inlineStr">
        <is>
          <t>References (p.100)</t>
        </is>
      </c>
      <c r="D128" s="11" t="inlineStr">
        <is>
          <t>Davis reference is written 'Fred D. Davis. (1989)'; APA is 'Davis, F. D. (1989).'</t>
        </is>
      </c>
      <c r="E128" s="11" t="inlineStr">
        <is>
          <t>Manuscript pass</t>
        </is>
      </c>
      <c r="F128" s="11" t="inlineStr">
        <is>
          <t>S</t>
        </is>
      </c>
      <c r="G128" s="11" t="inlineStr">
        <is>
          <t>Low</t>
        </is>
      </c>
      <c r="H128" s="11" t="inlineStr"/>
      <c r="I128" s="11" t="inlineStr">
        <is>
          <t>Corrects / rewords</t>
        </is>
      </c>
      <c r="J128" s="11" t="inlineStr"/>
      <c r="K128" s="11" t="inlineStr">
        <is>
          <t>Open</t>
        </is>
      </c>
    </row>
    <row r="129">
      <c r="A129" s="11" t="n">
        <v>128</v>
      </c>
      <c r="B129" s="11" t="inlineStr">
        <is>
          <t>Paper</t>
        </is>
      </c>
      <c r="C129" s="11" t="inlineStr">
        <is>
          <t>References (p.10 / refs)</t>
        </is>
      </c>
      <c r="D129" s="11" t="inlineStr">
        <is>
          <t>'The Generics Pharmacy (TGP) Sumulong Case Study (2024)' is cited without an author; check the APA author/organization format.</t>
        </is>
      </c>
      <c r="E129" s="11" t="inlineStr">
        <is>
          <t>Manuscript pass</t>
        </is>
      </c>
      <c r="F129" s="11" t="inlineStr">
        <is>
          <t>S</t>
        </is>
      </c>
      <c r="G129" s="11" t="inlineStr">
        <is>
          <t>Low</t>
        </is>
      </c>
      <c r="H129" s="11" t="inlineStr"/>
      <c r="I129" s="11" t="inlineStr">
        <is>
          <t>Corrects / rewords</t>
        </is>
      </c>
      <c r="J129" s="11" t="inlineStr"/>
      <c r="K129" s="11" t="inlineStr">
        <is>
          <t>Open</t>
        </is>
      </c>
    </row>
    <row r="130">
      <c r="A130" s="11" t="n">
        <v>129</v>
      </c>
      <c r="B130" s="11" t="inlineStr">
        <is>
          <t>Paper</t>
        </is>
      </c>
      <c r="C130" s="11" t="inlineStr">
        <is>
          <t>References (p.17 / refs)</t>
        </is>
      </c>
      <c r="D130" s="11" t="inlineStr">
        <is>
          <t>Sardjono et al. (2023) is described as an Agile-based study, but its listed title is about Track and Trace in Pharma 4.0. Verify the source matches the summary.</t>
        </is>
      </c>
      <c r="E130" s="11" t="inlineStr">
        <is>
          <t>Manuscript pass</t>
        </is>
      </c>
      <c r="F130" s="11" t="inlineStr">
        <is>
          <t>S</t>
        </is>
      </c>
      <c r="G130" s="11" t="inlineStr">
        <is>
          <t>Low</t>
        </is>
      </c>
      <c r="H130" s="11" t="inlineStr"/>
      <c r="I130" s="11" t="inlineStr">
        <is>
          <t>Corrects / rewords</t>
        </is>
      </c>
      <c r="J130" s="11" t="inlineStr"/>
      <c r="K130" s="11" t="inlineStr">
        <is>
          <t>Open</t>
        </is>
      </c>
    </row>
    <row r="131">
      <c r="A131" s="11" t="n">
        <v>130</v>
      </c>
      <c r="B131" s="11" t="inlineStr">
        <is>
          <t>Paper</t>
        </is>
      </c>
      <c r="C131" s="11" t="inlineStr">
        <is>
          <t>Appendices (p.124)</t>
        </is>
      </c>
      <c r="D131" s="11" t="inlineStr">
        <is>
          <t>List of Appendices says 'PayMongo Pricing' / 'Lalamove API Instruction'; the appendix pages say 'PayMongo Pricing Limitation' / 'Lalamove API Limitation'. Match titles.</t>
        </is>
      </c>
      <c r="E131" s="11" t="inlineStr">
        <is>
          <t>Manuscript pass</t>
        </is>
      </c>
      <c r="F131" s="11" t="inlineStr">
        <is>
          <t>S</t>
        </is>
      </c>
      <c r="G131" s="11" t="inlineStr">
        <is>
          <t>Low</t>
        </is>
      </c>
      <c r="H131" s="11" t="inlineStr"/>
      <c r="I131" s="11" t="inlineStr">
        <is>
          <t>Corrects / rewords</t>
        </is>
      </c>
      <c r="J131" s="11" t="inlineStr"/>
      <c r="K131" s="11" t="inlineStr">
        <is>
          <t>Open</t>
        </is>
      </c>
    </row>
    <row r="132">
      <c r="A132" s="11" t="n">
        <v>131</v>
      </c>
      <c r="B132" s="11" t="inlineStr">
        <is>
          <t>Paper</t>
        </is>
      </c>
      <c r="C132" s="11" t="inlineStr">
        <is>
          <t>Table of Contents / List of Figures (p.iv-vi)</t>
        </is>
      </c>
      <c r="D132" s="11" t="inlineStr">
        <is>
          <t>Regenerate page numbers after all edits.</t>
        </is>
      </c>
      <c r="E132" s="11" t="inlineStr">
        <is>
          <t>Manuscript pass</t>
        </is>
      </c>
      <c r="F132" s="11" t="inlineStr">
        <is>
          <t>S</t>
        </is>
      </c>
      <c r="G132" s="11" t="inlineStr">
        <is>
          <t>Low</t>
        </is>
      </c>
      <c r="H132" s="11" t="inlineStr"/>
      <c r="I132" s="11" t="inlineStr">
        <is>
          <t>Corrects / rewords</t>
        </is>
      </c>
      <c r="J132" s="11" t="inlineStr"/>
      <c r="K132" s="11" t="inlineStr">
        <is>
          <t>Open</t>
        </is>
      </c>
    </row>
  </sheetData>
  <autoFilter ref="A1:K132"/>
  <conditionalFormatting sqref="K2:K132">
    <cfRule type="cellIs" priority="1" operator="equal" dxfId="0">
      <formula>"Done"</formula>
    </cfRule>
  </conditionalFormatting>
  <dataValidations count="2">
    <dataValidation sqref="B2:B132" showDropDown="0" showInputMessage="0" showErrorMessage="0" allowBlank="1" type="list">
      <formula1>"Client,Decision,System,System + paper,Paper"</formula1>
    </dataValidation>
    <dataValidation sqref="K2:K132" showDropDown="0" showInputMessage="0" showErrorMessage="0" allowBlank="1" type="list">
      <formula1>"Open,In progress,Blocked,Done,Dropped"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42" customWidth="1" min="3" max="3"/>
    <col width="12" customWidth="1" min="4" max="4"/>
    <col width="30" customWidth="1" min="5" max="5"/>
    <col width="52" customWidth="1" min="6" max="6"/>
    <col width="18" customWidth="1" min="7" max="7"/>
    <col width="42" customWidth="1" min="8" max="8"/>
    <col width="10" customWidth="1" min="9" max="9"/>
    <col width="8" customWidth="1" min="10" max="10"/>
    <col width="20" customWidth="1" min="11" max="11"/>
  </cols>
  <sheetData>
    <row r="1">
      <c r="A1" s="10" t="inlineStr">
        <is>
          <t>ID</t>
        </is>
      </c>
      <c r="B1" s="10" t="inlineStr">
        <is>
          <t>Module</t>
        </is>
      </c>
      <c r="C1" s="10" t="inlineStr">
        <is>
          <t>Paper says (summary)</t>
        </is>
      </c>
      <c r="D1" s="10" t="inlineStr">
        <is>
          <t>Status</t>
        </is>
      </c>
      <c r="E1" s="10" t="inlineStr">
        <is>
          <t>Evidence (file:line)</t>
        </is>
      </c>
      <c r="F1" s="10" t="inlineStr">
        <is>
          <t>What differs</t>
        </is>
      </c>
      <c r="G1" s="10" t="inlineStr">
        <is>
          <t>Recommendation</t>
        </is>
      </c>
      <c r="H1" s="10" t="inlineStr">
        <is>
          <t>Reason</t>
        </is>
      </c>
      <c r="I1" s="10" t="inlineStr">
        <is>
          <t>Defense risk</t>
        </is>
      </c>
      <c r="J1" s="10" t="inlineStr">
        <is>
          <t>Effort</t>
        </is>
      </c>
      <c r="K1" s="10" t="inlineStr">
        <is>
          <t>Paper / source ref</t>
        </is>
      </c>
    </row>
    <row r="2">
      <c r="A2" s="11" t="inlineStr">
        <is>
          <t>REQ001</t>
        </is>
      </c>
      <c r="B2" s="11" t="inlineStr">
        <is>
          <t>Registration/Login</t>
        </is>
      </c>
      <c r="C2" s="11" t="inlineStr">
        <is>
          <t>Register with full name, email, contact no., password</t>
        </is>
      </c>
      <c r="D2" s="13" t="inlineStr">
        <is>
          <t>Matches</t>
        </is>
      </c>
      <c r="E2" s="11" t="inlineStr">
        <is>
          <t>js/register.js:140</t>
        </is>
      </c>
      <c r="F2" s="11" t="inlineStr">
        <is>
          <t>-</t>
        </is>
      </c>
      <c r="G2" s="11" t="inlineStr">
        <is>
          <t>None</t>
        </is>
      </c>
      <c r="H2" s="11" t="inlineStr"/>
      <c r="I2" s="11" t="inlineStr">
        <is>
          <t>Low</t>
        </is>
      </c>
      <c r="J2" s="11" t="inlineStr">
        <is>
          <t>-</t>
        </is>
      </c>
      <c r="K2" s="11" t="inlineStr">
        <is>
          <t>p.46</t>
        </is>
      </c>
    </row>
    <row r="3">
      <c r="A3" s="11" t="inlineStr">
        <is>
          <t>REQ002</t>
        </is>
      </c>
      <c r="B3" s="11" t="inlineStr">
        <is>
          <t>Registration/Login</t>
        </is>
      </c>
      <c r="C3" s="11" t="inlineStr">
        <is>
          <t>Email verification code; activate only after verification</t>
        </is>
      </c>
      <c r="D3" s="14" t="inlineStr">
        <is>
          <t>Partial</t>
        </is>
      </c>
      <c r="E3" s="11" t="inlineStr">
        <is>
          <t>js/register.js:214; js/verify-email.js:94; firestore.rules:43</t>
        </is>
      </c>
      <c r="F3" s="11" t="inlineStr">
        <is>
          <t>Works, but the code is stored on the customer's own user doc (readable by them) and the rules let a customer set emailVerified:true themselves, so verification can be bypassed.</t>
        </is>
      </c>
      <c r="G3" s="11" t="inlineStr">
        <is>
          <t>Change system</t>
        </is>
      </c>
      <c r="H3" s="11" t="inlineStr">
        <is>
          <t>Panel security question risk; small rules + storage change.</t>
        </is>
      </c>
      <c r="I3" s="11" t="inlineStr">
        <is>
          <t>Med</t>
        </is>
      </c>
      <c r="J3" s="11" t="inlineStr">
        <is>
          <t>S</t>
        </is>
      </c>
      <c r="K3" s="11" t="inlineStr">
        <is>
          <t>p.46</t>
        </is>
      </c>
    </row>
    <row r="4">
      <c r="A4" s="11" t="inlineStr">
        <is>
          <t>REQ003</t>
        </is>
      </c>
      <c r="B4" s="11" t="inlineStr">
        <is>
          <t>Registration/Login</t>
        </is>
      </c>
      <c r="C4" s="11" t="inlineStr">
        <is>
          <t>CAPTCHA on registration and login</t>
        </is>
      </c>
      <c r="D4" s="13" t="inlineStr">
        <is>
          <t>Matches</t>
        </is>
      </c>
      <c r="E4" s="11" t="inlineStr">
        <is>
          <t>js/register.js:184; js/auth.js:111</t>
        </is>
      </c>
      <c r="F4" s="11" t="inlineStr">
        <is>
          <t>-</t>
        </is>
      </c>
      <c r="G4" s="11" t="inlineStr">
        <is>
          <t>None</t>
        </is>
      </c>
      <c r="H4" s="11" t="inlineStr"/>
      <c r="I4" s="11" t="inlineStr">
        <is>
          <t>Low</t>
        </is>
      </c>
      <c r="J4" s="11" t="inlineStr">
        <is>
          <t>-</t>
        </is>
      </c>
      <c r="K4" s="11" t="inlineStr">
        <is>
          <t>p.46</t>
        </is>
      </c>
    </row>
    <row r="5">
      <c r="A5" s="11" t="inlineStr">
        <is>
          <t>REQ004</t>
        </is>
      </c>
      <c r="B5" s="11" t="inlineStr">
        <is>
          <t>Registration/Login</t>
        </is>
      </c>
      <c r="C5" s="11" t="inlineStr">
        <is>
          <t>Lock account 2 min after 5 failed logins</t>
        </is>
      </c>
      <c r="D5" s="13" t="inlineStr">
        <is>
          <t>Matches</t>
        </is>
      </c>
      <c r="E5" s="11" t="inlineStr">
        <is>
          <t>js/auth.js:57</t>
        </is>
      </c>
      <c r="F5" s="11" t="inlineStr">
        <is>
          <t>Lockout counter lives in a public loginAttempts collection anyone can reset (firestore.rules loginAttempts).</t>
        </is>
      </c>
      <c r="G5" s="11" t="inlineStr">
        <is>
          <t>None</t>
        </is>
      </c>
      <c r="H5" s="11" t="inlineStr">
        <is>
          <t>Behaviour matches; weakness is acceptable for capstone, mention if asked.</t>
        </is>
      </c>
      <c r="I5" s="11" t="inlineStr">
        <is>
          <t>Low</t>
        </is>
      </c>
      <c r="J5" s="11" t="inlineStr">
        <is>
          <t>-</t>
        </is>
      </c>
      <c r="K5" s="11" t="inlineStr">
        <is>
          <t>p.46</t>
        </is>
      </c>
    </row>
    <row r="6">
      <c r="A6" s="11" t="inlineStr">
        <is>
          <t>REQ005</t>
        </is>
      </c>
      <c r="B6" s="11" t="inlineStr">
        <is>
          <t>Registration/Login</t>
        </is>
      </c>
      <c r="C6" s="11" t="inlineStr">
        <is>
          <t>Email OTP when logging in from an unrecognized device</t>
        </is>
      </c>
      <c r="D6" s="15" t="inlineStr">
        <is>
          <t>Missing</t>
        </is>
      </c>
      <c r="E6" s="11" t="inlineStr">
        <is>
          <t>-</t>
        </is>
      </c>
      <c r="F6" s="11" t="inlineStr">
        <is>
          <t>No device recognition or login OTP exists.</t>
        </is>
      </c>
      <c r="G6" s="11" t="inlineStr">
        <is>
          <t>Change system</t>
        </is>
      </c>
      <c r="H6" s="11" t="inlineStr">
        <is>
          <t>Also in Fig 2.3 (Verify OTP) and Activity 2.8; OTP + EmailJS code already exists (js/otp.js) to reuse.</t>
        </is>
      </c>
      <c r="I6" s="11" t="inlineStr">
        <is>
          <t>Med</t>
        </is>
      </c>
      <c r="J6" s="11" t="inlineStr">
        <is>
          <t>M</t>
        </is>
      </c>
      <c r="K6" s="11" t="inlineStr">
        <is>
          <t>p.46; Fig 2.3; Fig 2.8</t>
        </is>
      </c>
    </row>
    <row r="7">
      <c r="A7" s="11" t="inlineStr">
        <is>
          <t>REQ006</t>
        </is>
      </c>
      <c r="B7" s="11" t="inlineStr">
        <is>
          <t>Registration/Login</t>
        </is>
      </c>
      <c r="C7" s="11" t="inlineStr">
        <is>
          <t>Show Terms and Conditions; require acceptance</t>
        </is>
      </c>
      <c r="D7" s="13" t="inlineStr">
        <is>
          <t>Matches</t>
        </is>
      </c>
      <c r="E7" s="11" t="inlineStr">
        <is>
          <t>js/terms-gate.js:34</t>
        </is>
      </c>
      <c r="F7" s="11" t="inlineStr">
        <is>
          <t>Terms rewritten to the branch's policies (client to review). (was: -)</t>
        </is>
      </c>
      <c r="G7" s="11" t="inlineStr">
        <is>
          <t>None</t>
        </is>
      </c>
      <c r="H7" s="11" t="inlineStr"/>
      <c r="I7" s="11" t="inlineStr">
        <is>
          <t>Low</t>
        </is>
      </c>
      <c r="J7" s="11" t="inlineStr">
        <is>
          <t>-</t>
        </is>
      </c>
      <c r="K7" s="11" t="inlineStr">
        <is>
          <t>p.46</t>
        </is>
      </c>
    </row>
    <row r="8">
      <c r="A8" s="11" t="inlineStr">
        <is>
          <t>REQ007</t>
        </is>
      </c>
      <c r="B8" s="11" t="inlineStr">
        <is>
          <t>Registration/Login</t>
        </is>
      </c>
      <c r="C8" s="11" t="inlineStr">
        <is>
          <t>Password recovery via time-limited reset link</t>
        </is>
      </c>
      <c r="D8" s="13" t="inlineStr">
        <is>
          <t>Matches</t>
        </is>
      </c>
      <c r="E8" s="11" t="inlineStr">
        <is>
          <t>js/forgot-password.js:51</t>
        </is>
      </c>
      <c r="F8" s="11" t="inlineStr">
        <is>
          <t>Sent by Firebase Auth, not EmailJS as the Technical Background says.</t>
        </is>
      </c>
      <c r="G8" s="11" t="inlineStr">
        <is>
          <t>Change paper</t>
        </is>
      </c>
      <c r="H8" s="11" t="inlineStr">
        <is>
          <t>Tech wording only (see Tech Stack sheet).</t>
        </is>
      </c>
      <c r="I8" s="11" t="inlineStr">
        <is>
          <t>Low</t>
        </is>
      </c>
      <c r="J8" s="11" t="inlineStr">
        <is>
          <t>-</t>
        </is>
      </c>
      <c r="K8" s="11" t="inlineStr">
        <is>
          <t>p.47</t>
        </is>
      </c>
    </row>
    <row r="9">
      <c r="A9" s="11" t="inlineStr">
        <is>
          <t>REQ008</t>
        </is>
      </c>
      <c r="B9" s="11" t="inlineStr">
        <is>
          <t>Home</t>
        </is>
      </c>
      <c r="C9" s="11" t="inlineStr">
        <is>
          <t>Home page with products, announcements, promotions, navigation</t>
        </is>
      </c>
      <c r="D9" s="14" t="inlineStr">
        <is>
          <t>Partial</t>
        </is>
      </c>
      <c r="E9" s="11" t="inlineStr">
        <is>
          <t>shop/index.html</t>
        </is>
      </c>
      <c r="F9" s="11" t="inlineStr">
        <is>
          <t>Featured products and categories exist; no announcements or promotions section.</t>
        </is>
      </c>
      <c r="G9" s="11" t="inlineStr">
        <is>
          <t>Change system</t>
        </is>
      </c>
      <c r="H9" s="11" t="inlineStr">
        <is>
          <t>The client announces store closures (e.g. long weekends) to buyers today (Interview 1); a simple staff-editable announcement banner covers it. Promotions can be dropped from the paper.</t>
        </is>
      </c>
      <c r="I9" s="11" t="inlineStr">
        <is>
          <t>Low</t>
        </is>
      </c>
      <c r="J9" s="11" t="inlineStr">
        <is>
          <t>S</t>
        </is>
      </c>
      <c r="K9" s="11" t="inlineStr">
        <is>
          <t>p.47; Interview 1</t>
        </is>
      </c>
    </row>
    <row r="10">
      <c r="A10" s="11" t="inlineStr">
        <is>
          <t>REQ009</t>
        </is>
      </c>
      <c r="B10" s="11" t="inlineStr">
        <is>
          <t>Product Browsing</t>
        </is>
      </c>
      <c r="C10" s="11" t="inlineStr">
        <is>
          <t>Catalog by category with name, price, stock availability</t>
        </is>
      </c>
      <c r="D10" s="13" t="inlineStr">
        <is>
          <t>Matches</t>
        </is>
      </c>
      <c r="E10" s="11" t="inlineStr">
        <is>
          <t>js/products-data.js:696</t>
        </is>
      </c>
      <c r="F10" s="11" t="inlineStr">
        <is>
          <t>06574da: catalog cards show the quantity in stock. (was: Cards show name/price and an Out of Stock badge, but not the quantity available (only on the product page).)</t>
        </is>
      </c>
      <c r="G10" s="11" t="inlineStr">
        <is>
          <t>None</t>
        </is>
      </c>
      <c r="H10" s="11" t="inlineStr">
        <is>
          <t>One-line card change.</t>
        </is>
      </c>
      <c r="I10" s="11" t="inlineStr">
        <is>
          <t>Low</t>
        </is>
      </c>
      <c r="J10" s="11" t="inlineStr">
        <is>
          <t>S</t>
        </is>
      </c>
      <c r="K10" s="11" t="inlineStr">
        <is>
          <t>p.47</t>
        </is>
      </c>
    </row>
    <row r="11">
      <c r="A11" s="11" t="inlineStr">
        <is>
          <t>REQ010</t>
        </is>
      </c>
      <c r="B11" s="11" t="inlineStr">
        <is>
          <t>Product Browsing</t>
        </is>
      </c>
      <c r="C11" s="11" t="inlineStr">
        <is>
          <t>Filter by category, price range, stock status</t>
        </is>
      </c>
      <c r="D11" s="13" t="inlineStr">
        <is>
          <t>Matches</t>
        </is>
      </c>
      <c r="E11" s="11" t="inlineStr">
        <is>
          <t>js/products.js:31; shop/products.html</t>
        </is>
      </c>
      <c r="F11" s="11" t="inlineStr">
        <is>
          <t>Fixed: price range + availability filters. (was: Category filter and price sort only; no price-range or stock-status filter.)</t>
        </is>
      </c>
      <c r="G11" s="11" t="inlineStr">
        <is>
          <t>None</t>
        </is>
      </c>
      <c r="H11" s="11" t="inlineStr">
        <is>
          <t>Small UI addition; visible in demo.</t>
        </is>
      </c>
      <c r="I11" s="11" t="inlineStr">
        <is>
          <t>Med</t>
        </is>
      </c>
      <c r="J11" s="11" t="inlineStr">
        <is>
          <t>S</t>
        </is>
      </c>
      <c r="K11" s="11" t="inlineStr">
        <is>
          <t>p.47</t>
        </is>
      </c>
    </row>
    <row r="12">
      <c r="A12" s="11" t="inlineStr">
        <is>
          <t>REQ011</t>
        </is>
      </c>
      <c r="B12" s="11" t="inlineStr">
        <is>
          <t>Product Browsing</t>
        </is>
      </c>
      <c r="C12" s="11" t="inlineStr">
        <is>
          <t>Keyword / product-name search</t>
        </is>
      </c>
      <c r="D12" s="13" t="inlineStr">
        <is>
          <t>Matches</t>
        </is>
      </c>
      <c r="E12" s="11" t="inlineStr">
        <is>
          <t>shop/products.html:38 (input has no handler)</t>
        </is>
      </c>
      <c r="F12" s="11" t="inlineStr">
        <is>
          <t>Fixed: header search works on every page. (was: Header search box is not wired to anything on any page.)</t>
        </is>
      </c>
      <c r="G12" s="11" t="inlineStr">
        <is>
          <t>None</t>
        </is>
      </c>
      <c r="H12" s="11" t="inlineStr">
        <is>
          <t>Panel will type in it; small fix.</t>
        </is>
      </c>
      <c r="I12" s="11" t="inlineStr">
        <is>
          <t>High</t>
        </is>
      </c>
      <c r="J12" s="11" t="inlineStr">
        <is>
          <t>S</t>
        </is>
      </c>
      <c r="K12" s="11" t="inlineStr">
        <is>
          <t>p.47; Fig 2.3 Filter and Search</t>
        </is>
      </c>
    </row>
    <row r="13">
      <c r="A13" s="11" t="inlineStr">
        <is>
          <t>REQ012</t>
        </is>
      </c>
      <c r="B13" s="11" t="inlineStr">
        <is>
          <t>Product Browsing</t>
        </is>
      </c>
      <c r="C13" s="11" t="inlineStr">
        <is>
          <t>'No products found' message</t>
        </is>
      </c>
      <c r="D13" s="13" t="inlineStr">
        <is>
          <t>Matches</t>
        </is>
      </c>
      <c r="E13" s="11" t="inlineStr">
        <is>
          <t>js/products.js:70</t>
        </is>
      </c>
      <c r="F13" s="11" t="inlineStr">
        <is>
          <t>-</t>
        </is>
      </c>
      <c r="G13" s="11" t="inlineStr">
        <is>
          <t>None</t>
        </is>
      </c>
      <c r="H13" s="11" t="inlineStr"/>
      <c r="I13" s="11" t="inlineStr">
        <is>
          <t>Low</t>
        </is>
      </c>
      <c r="J13" s="11" t="inlineStr">
        <is>
          <t>-</t>
        </is>
      </c>
      <c r="K13" s="11" t="inlineStr">
        <is>
          <t>p.47</t>
        </is>
      </c>
    </row>
    <row r="14">
      <c r="A14" s="11" t="inlineStr">
        <is>
          <t>REQ013</t>
        </is>
      </c>
      <c r="B14" s="11" t="inlineStr">
        <is>
          <t>Product View</t>
        </is>
      </c>
      <c r="C14" s="11" t="inlineStr">
        <is>
          <t>Product page: name, description, price, stock, dosage/usage notes, images</t>
        </is>
      </c>
      <c r="D14" s="13" t="inlineStr">
        <is>
          <t>Matches</t>
        </is>
      </c>
      <c r="E14" s="11" t="inlineStr">
        <is>
          <t>js/product-details.js</t>
        </is>
      </c>
      <c r="F14" s="11" t="inlineStr">
        <is>
          <t>06574da: Dosage / Usage notes field shown on the product page and quick view. (was: No dosage/usage notes field exists anywhere.)</t>
        </is>
      </c>
      <c r="G14" s="11" t="inlineStr">
        <is>
          <t>None</t>
        </is>
      </c>
      <c r="H14" s="11" t="inlineStr">
        <is>
          <t>Add one optional field to product form + page.</t>
        </is>
      </c>
      <c r="I14" s="11" t="inlineStr">
        <is>
          <t>Low</t>
        </is>
      </c>
      <c r="J14" s="11" t="inlineStr">
        <is>
          <t>S</t>
        </is>
      </c>
      <c r="K14" s="11" t="inlineStr">
        <is>
          <t>p.47</t>
        </is>
      </c>
    </row>
    <row r="15">
      <c r="A15" s="11" t="inlineStr">
        <is>
          <t>REQ014</t>
        </is>
      </c>
      <c r="B15" s="11" t="inlineStr">
        <is>
          <t>Cart</t>
        </is>
      </c>
      <c r="C15" s="11" t="inlineStr">
        <is>
          <t>Persistent cart per logged-in customer</t>
        </is>
      </c>
      <c r="D15" s="13" t="inlineStr">
        <is>
          <t>Matches</t>
        </is>
      </c>
      <c r="E15" s="11" t="inlineStr">
        <is>
          <t>js/cart.js:5 (localStorage)</t>
        </is>
      </c>
      <c r="F15" s="11" t="inlineStr">
        <is>
          <t>77336f3: signed-in cart saved on the account and merged with any guest cart at sign-in. (was: Cart is stored in the browser, so it follows the device, not the account.)</t>
        </is>
      </c>
      <c r="G15" s="11" t="inlineStr">
        <is>
          <t>None</t>
        </is>
      </c>
      <c r="H15" s="11" t="inlineStr">
        <is>
          <t>Activity 2.10 says cart persists across sessions; small sync to users/{uid}.</t>
        </is>
      </c>
      <c r="I15" s="11" t="inlineStr">
        <is>
          <t>Med</t>
        </is>
      </c>
      <c r="J15" s="11" t="inlineStr">
        <is>
          <t>S</t>
        </is>
      </c>
      <c r="K15" s="11" t="inlineStr">
        <is>
          <t>p.47; Fig 2.10</t>
        </is>
      </c>
    </row>
    <row r="16">
      <c r="A16" s="11" t="inlineStr">
        <is>
          <t>REQ015</t>
        </is>
      </c>
      <c r="B16" s="11" t="inlineStr">
        <is>
          <t>Cart</t>
        </is>
      </c>
      <c r="C16" s="11" t="inlineStr">
        <is>
          <t>Adjust quantities / remove items</t>
        </is>
      </c>
      <c r="D16" s="13" t="inlineStr">
        <is>
          <t>Matches</t>
        </is>
      </c>
      <c r="E16" s="11" t="inlineStr">
        <is>
          <t>js/cart-page.js:40</t>
        </is>
      </c>
      <c r="F16" s="11" t="inlineStr">
        <is>
          <t>-</t>
        </is>
      </c>
      <c r="G16" s="11" t="inlineStr">
        <is>
          <t>None</t>
        </is>
      </c>
      <c r="H16" s="11" t="inlineStr"/>
      <c r="I16" s="11" t="inlineStr">
        <is>
          <t>Low</t>
        </is>
      </c>
      <c r="J16" s="11" t="inlineStr">
        <is>
          <t>-</t>
        </is>
      </c>
      <c r="K16" s="11" t="inlineStr">
        <is>
          <t>p.48</t>
        </is>
      </c>
    </row>
    <row r="17">
      <c r="A17" s="11" t="inlineStr">
        <is>
          <t>REQ016</t>
        </is>
      </c>
      <c r="B17" s="11" t="inlineStr">
        <is>
          <t>Cart</t>
        </is>
      </c>
      <c r="C17" s="11" t="inlineStr">
        <is>
          <t>Running total updates on change</t>
        </is>
      </c>
      <c r="D17" s="13" t="inlineStr">
        <is>
          <t>Matches</t>
        </is>
      </c>
      <c r="E17" s="11" t="inlineStr">
        <is>
          <t>js/cart-page.js</t>
        </is>
      </c>
      <c r="F17" s="11" t="inlineStr">
        <is>
          <t>-</t>
        </is>
      </c>
      <c r="G17" s="11" t="inlineStr">
        <is>
          <t>None</t>
        </is>
      </c>
      <c r="H17" s="11" t="inlineStr"/>
      <c r="I17" s="11" t="inlineStr">
        <is>
          <t>Low</t>
        </is>
      </c>
      <c r="J17" s="11" t="inlineStr">
        <is>
          <t>-</t>
        </is>
      </c>
      <c r="K17" s="11" t="inlineStr">
        <is>
          <t>p.48</t>
        </is>
      </c>
    </row>
    <row r="18">
      <c r="A18" s="11" t="inlineStr">
        <is>
          <t>REQ017</t>
        </is>
      </c>
      <c r="B18" s="11" t="inlineStr">
        <is>
          <t>Checkout</t>
        </is>
      </c>
      <c r="C18" s="11" t="inlineStr">
        <is>
          <t>Collect delivery address before submission</t>
        </is>
      </c>
      <c r="D18" s="13" t="inlineStr">
        <is>
          <t>Matches</t>
        </is>
      </c>
      <c r="E18" s="11" t="inlineStr">
        <is>
          <t>js/checkout.js:140</t>
        </is>
      </c>
      <c r="F18" s="11" t="inlineStr">
        <is>
          <t>-</t>
        </is>
      </c>
      <c r="G18" s="11" t="inlineStr">
        <is>
          <t>None</t>
        </is>
      </c>
      <c r="H18" s="11" t="inlineStr"/>
      <c r="I18" s="11" t="inlineStr">
        <is>
          <t>Low</t>
        </is>
      </c>
      <c r="J18" s="11" t="inlineStr">
        <is>
          <t>-</t>
        </is>
      </c>
      <c r="K18" s="11" t="inlineStr">
        <is>
          <t>p.48</t>
        </is>
      </c>
    </row>
    <row r="19">
      <c r="A19" s="11" t="inlineStr">
        <is>
          <t>REQ018</t>
        </is>
      </c>
      <c r="B19" s="11" t="inlineStr">
        <is>
          <t>Checkout</t>
        </is>
      </c>
      <c r="C19" s="11" t="inlineStr">
        <is>
          <t>Save default delivery address</t>
        </is>
      </c>
      <c r="D19" s="13" t="inlineStr">
        <is>
          <t>Matches</t>
        </is>
      </c>
      <c r="E19" s="11" t="inlineStr">
        <is>
          <t>js/checkout.js:164</t>
        </is>
      </c>
      <c r="F19" s="11" t="inlineStr">
        <is>
          <t>Saved automatically on every checkout rather than as an explicit choice.</t>
        </is>
      </c>
      <c r="G19" s="11" t="inlineStr">
        <is>
          <t>None</t>
        </is>
      </c>
      <c r="H19" s="11" t="inlineStr">
        <is>
          <t>Acceptable.</t>
        </is>
      </c>
      <c r="I19" s="11" t="inlineStr">
        <is>
          <t>Low</t>
        </is>
      </c>
      <c r="J19" s="11" t="inlineStr">
        <is>
          <t>-</t>
        </is>
      </c>
      <c r="K19" s="11" t="inlineStr">
        <is>
          <t>p.48</t>
        </is>
      </c>
    </row>
    <row r="20">
      <c r="A20" s="11" t="inlineStr">
        <is>
          <t>REQ019</t>
        </is>
      </c>
      <c r="B20" s="11" t="inlineStr">
        <is>
          <t>Checkout</t>
        </is>
      </c>
      <c r="C20" s="11" t="inlineStr">
        <is>
          <t>Block submission without address</t>
        </is>
      </c>
      <c r="D20" s="13" t="inlineStr">
        <is>
          <t>Matches</t>
        </is>
      </c>
      <c r="E20" s="11" t="inlineStr">
        <is>
          <t>shop/checkout.html (required fields)</t>
        </is>
      </c>
      <c r="F20" s="11" t="inlineStr">
        <is>
          <t>-</t>
        </is>
      </c>
      <c r="G20" s="11" t="inlineStr">
        <is>
          <t>None</t>
        </is>
      </c>
      <c r="H20" s="11" t="inlineStr"/>
      <c r="I20" s="11" t="inlineStr">
        <is>
          <t>Low</t>
        </is>
      </c>
      <c r="J20" s="11" t="inlineStr">
        <is>
          <t>-</t>
        </is>
      </c>
      <c r="K20" s="11" t="inlineStr">
        <is>
          <t>p.48</t>
        </is>
      </c>
    </row>
    <row r="21">
      <c r="A21" s="11" t="inlineStr">
        <is>
          <t>REQ020</t>
        </is>
      </c>
      <c r="B21" s="11" t="inlineStr">
        <is>
          <t>Checkout</t>
        </is>
      </c>
      <c r="C21" s="11" t="inlineStr">
        <is>
          <t>Notice: delivery fee paid to Lalamove rider</t>
        </is>
      </c>
      <c r="D21" s="13" t="inlineStr">
        <is>
          <t>Matches</t>
        </is>
      </c>
      <c r="E21" s="11" t="inlineStr">
        <is>
          <t>shop/checkout.html:177; shop/payment.html:196</t>
        </is>
      </c>
      <c r="F21" s="11" t="inlineStr">
        <is>
          <t>Payment page says pay rider 'cash'; interview 3 says riders also take GCash.</t>
        </is>
      </c>
      <c r="G21" s="11" t="inlineStr">
        <is>
          <t>Change system</t>
        </is>
      </c>
      <c r="H21" s="11" t="inlineStr">
        <is>
          <t>Copy tweak only.</t>
        </is>
      </c>
      <c r="I21" s="11" t="inlineStr">
        <is>
          <t>Low</t>
        </is>
      </c>
      <c r="J21" s="11" t="inlineStr">
        <is>
          <t>S</t>
        </is>
      </c>
      <c r="K21" s="11" t="inlineStr">
        <is>
          <t>p.48; Interview 3</t>
        </is>
      </c>
    </row>
    <row r="22">
      <c r="A22" s="11" t="inlineStr">
        <is>
          <t>REQ021</t>
        </is>
      </c>
      <c r="B22" s="11" t="inlineStr">
        <is>
          <t>Prescription Pre-Order</t>
        </is>
      </c>
      <c r="C22" s="11" t="inlineStr">
        <is>
          <t>RX pre-order requires prescription photo</t>
        </is>
      </c>
      <c r="D22" s="13" t="inlineStr">
        <is>
          <t>Matches</t>
        </is>
      </c>
      <c r="E22" s="11" t="inlineStr">
        <is>
          <t>js/payment.js:38</t>
        </is>
      </c>
      <c r="F22" s="11" t="inlineStr">
        <is>
          <t>-</t>
        </is>
      </c>
      <c r="G22" s="11" t="inlineStr">
        <is>
          <t>None</t>
        </is>
      </c>
      <c r="H22" s="11" t="inlineStr"/>
      <c r="I22" s="11" t="inlineStr">
        <is>
          <t>Low</t>
        </is>
      </c>
      <c r="J22" s="11" t="inlineStr">
        <is>
          <t>-</t>
        </is>
      </c>
      <c r="K22" s="11" t="inlineStr">
        <is>
          <t>p.48</t>
        </is>
      </c>
    </row>
    <row r="23">
      <c r="A23" s="11" t="inlineStr">
        <is>
          <t>REQ022</t>
        </is>
      </c>
      <c r="B23" s="11" t="inlineStr">
        <is>
          <t>Prescription Pre-Order</t>
        </is>
      </c>
      <c r="C23" s="11" t="inlineStr">
        <is>
          <t>Full QR PH payment + screenshot before submission</t>
        </is>
      </c>
      <c r="D23" s="13" t="inlineStr">
        <is>
          <t>Matches</t>
        </is>
      </c>
      <c r="E23" s="11" t="inlineStr">
        <is>
          <t>js/payment.js</t>
        </is>
      </c>
      <c r="F23" s="11" t="inlineStr">
        <is>
          <t>-</t>
        </is>
      </c>
      <c r="G23" s="11" t="inlineStr">
        <is>
          <t>None</t>
        </is>
      </c>
      <c r="H23" s="11" t="inlineStr"/>
      <c r="I23" s="11" t="inlineStr">
        <is>
          <t>Low</t>
        </is>
      </c>
      <c r="J23" s="11" t="inlineStr">
        <is>
          <t>-</t>
        </is>
      </c>
      <c r="K23" s="11" t="inlineStr">
        <is>
          <t>p.48</t>
        </is>
      </c>
    </row>
    <row r="24">
      <c r="A24" s="11" t="inlineStr">
        <is>
          <t>REQ023</t>
        </is>
      </c>
      <c r="B24" s="11" t="inlineStr">
        <is>
          <t>Prescription Pre-Order</t>
        </is>
      </c>
      <c r="C24" s="11" t="inlineStr">
        <is>
          <t>RX pre-orders are pick-up only</t>
        </is>
      </c>
      <c r="D24" s="13" t="inlineStr">
        <is>
          <t>Matches</t>
        </is>
      </c>
      <c r="E24" s="11" t="inlineStr">
        <is>
          <t>js/checkout.js:63</t>
        </is>
      </c>
      <c r="F24" s="11" t="inlineStr">
        <is>
          <t>-</t>
        </is>
      </c>
      <c r="G24" s="11" t="inlineStr">
        <is>
          <t>None</t>
        </is>
      </c>
      <c r="H24" s="11" t="inlineStr"/>
      <c r="I24" s="11" t="inlineStr">
        <is>
          <t>Low</t>
        </is>
      </c>
      <c r="J24" s="11" t="inlineStr">
        <is>
          <t>-</t>
        </is>
      </c>
      <c r="K24" s="11" t="inlineStr">
        <is>
          <t>p.49</t>
        </is>
      </c>
    </row>
    <row r="25">
      <c r="A25" s="11" t="inlineStr">
        <is>
          <t>REQ024</t>
        </is>
      </c>
      <c r="B25" s="11" t="inlineStr">
        <is>
          <t>Prescription Pre-Order</t>
        </is>
      </c>
      <c r="C25" s="11" t="inlineStr">
        <is>
          <t>Submitted as 'Pending Prescription Verification'; not prepared until staff approve the prescription</t>
        </is>
      </c>
      <c r="D25" s="13" t="inlineStr">
        <is>
          <t>Matches</t>
        </is>
      </c>
      <c r="E25" s="11" t="inlineStr">
        <is>
          <t>js/orders.js:5</t>
        </is>
      </c>
      <c r="F25" s="11" t="inlineStr">
        <is>
          <t>082ec92: RX orders show 'Pending Prescription Verification' and aren't prepared until staff approve the prescription. (was: RX orders use the same 'Order Pending Verification' status as normal orders; prescription approval is not a separate step.)</t>
        </is>
      </c>
      <c r="G25" s="11" t="inlineStr">
        <is>
          <t>None</t>
        </is>
      </c>
      <c r="H25" s="11" t="inlineStr">
        <is>
          <t>Paper repeats this in Modules, Conceptual Framework, Fig 2.10; system change is moderate.</t>
        </is>
      </c>
      <c r="I25" s="11" t="inlineStr">
        <is>
          <t>High</t>
        </is>
      </c>
      <c r="J25" s="11" t="inlineStr">
        <is>
          <t>M</t>
        </is>
      </c>
      <c r="K25" s="11" t="inlineStr">
        <is>
          <t>p.49; Fig 2.10</t>
        </is>
      </c>
    </row>
    <row r="26">
      <c r="A26" s="11" t="inlineStr">
        <is>
          <t>REQ025</t>
        </is>
      </c>
      <c r="B26" s="11" t="inlineStr">
        <is>
          <t>Prescription Pre-Order</t>
        </is>
      </c>
      <c r="C26" s="11" t="inlineStr">
        <is>
          <t>Notify approved/ready for pick-up, or rejected with reason</t>
        </is>
      </c>
      <c r="D26" s="13" t="inlineStr">
        <is>
          <t>Matches</t>
        </is>
      </c>
      <c r="E26" s="11" t="inlineStr">
        <is>
          <t>js/admin-online-orders.js:392</t>
        </is>
      </c>
      <c r="F26" s="11" t="inlineStr">
        <is>
          <t>082ec92: approval sends 'ready for pick-up'; rejection sends the reason. (was: Approval sends 'Payment confirmed' only; there is no rejection path at all.)</t>
        </is>
      </c>
      <c r="G26" s="11" t="inlineStr">
        <is>
          <t>None</t>
        </is>
      </c>
      <c r="H26" s="11" t="inlineStr">
        <is>
          <t>Part of the RX verification fix.</t>
        </is>
      </c>
      <c r="I26" s="11" t="inlineStr">
        <is>
          <t>High</t>
        </is>
      </c>
      <c r="J26" s="11" t="inlineStr">
        <is>
          <t>M</t>
        </is>
      </c>
      <c r="K26" s="11" t="inlineStr">
        <is>
          <t>p.49</t>
        </is>
      </c>
    </row>
    <row r="27">
      <c r="A27" s="11" t="inlineStr">
        <is>
          <t>REQ026</t>
        </is>
      </c>
      <c r="B27" s="11" t="inlineStr">
        <is>
          <t>Prescription Pre-Order</t>
        </is>
      </c>
      <c r="C27" s="11" t="inlineStr">
        <is>
          <t>Notice: original prescription must be presented at pick-up</t>
        </is>
      </c>
      <c r="D27" s="13" t="inlineStr">
        <is>
          <t>Matches</t>
        </is>
      </c>
      <c r="E27" s="11" t="inlineStr">
        <is>
          <t>shop/checkout.html:133</t>
        </is>
      </c>
      <c r="F27" s="11" t="inlineStr">
        <is>
          <t>082ec92: checkout and payment pages say to bring the original prescription. (was: Checkout pick-up notice does not mention the original prescription (only the later pick-up notification does).)</t>
        </is>
      </c>
      <c r="G27" s="11" t="inlineStr">
        <is>
          <t>None</t>
        </is>
      </c>
      <c r="H27" s="11" t="inlineStr">
        <is>
          <t>Copy change.</t>
        </is>
      </c>
      <c r="I27" s="11" t="inlineStr">
        <is>
          <t>Low</t>
        </is>
      </c>
      <c r="J27" s="11" t="inlineStr">
        <is>
          <t>S</t>
        </is>
      </c>
      <c r="K27" s="11" t="inlineStr">
        <is>
          <t>p.49</t>
        </is>
      </c>
    </row>
    <row r="28">
      <c r="A28" s="11" t="inlineStr">
        <is>
          <t>REQ027</t>
        </is>
      </c>
      <c r="B28" s="11" t="inlineStr">
        <is>
          <t>Prescription Pre-Order</t>
        </is>
      </c>
      <c r="C28" s="11" t="inlineStr">
        <is>
          <t>Customer can view RX pre-order status in My Orders</t>
        </is>
      </c>
      <c r="D28" s="13" t="inlineStr">
        <is>
          <t>Matches</t>
        </is>
      </c>
      <c r="E28" s="11" t="inlineStr">
        <is>
          <t>js/orders-list.js</t>
        </is>
      </c>
      <c r="F28" s="11" t="inlineStr">
        <is>
          <t>-</t>
        </is>
      </c>
      <c r="G28" s="11" t="inlineStr">
        <is>
          <t>None</t>
        </is>
      </c>
      <c r="H28" s="11" t="inlineStr"/>
      <c r="I28" s="11" t="inlineStr">
        <is>
          <t>Low</t>
        </is>
      </c>
      <c r="J28" s="11" t="inlineStr">
        <is>
          <t>-</t>
        </is>
      </c>
      <c r="K28" s="11" t="inlineStr">
        <is>
          <t>p.49</t>
        </is>
      </c>
    </row>
    <row r="29">
      <c r="A29" s="11" t="inlineStr">
        <is>
          <t>REQ028</t>
        </is>
      </c>
      <c r="B29" s="11" t="inlineStr">
        <is>
          <t>Payment</t>
        </is>
      </c>
      <c r="C29" s="11" t="inlineStr">
        <is>
          <t>Show branch QR PH code and account details</t>
        </is>
      </c>
      <c r="D29" s="14" t="inlineStr">
        <is>
          <t>Partial</t>
        </is>
      </c>
      <c r="E29" s="11" t="inlineStr">
        <is>
          <t>shop/payment.html:135</t>
        </is>
      </c>
      <c r="F29" s="11" t="inlineStr">
        <is>
          <t>Page points to assets/payment-qr.png, which is not in the repo, so customers see a placeholder.</t>
        </is>
      </c>
      <c r="G29" s="11" t="inlineStr">
        <is>
          <t>Change system</t>
        </is>
      </c>
      <c r="H29" s="11" t="inlineStr">
        <is>
          <t>Needs the client's actual QR image; highly visible in demo.</t>
        </is>
      </c>
      <c r="I29" s="11" t="inlineStr">
        <is>
          <t>High</t>
        </is>
      </c>
      <c r="J29" s="11" t="inlineStr">
        <is>
          <t>S</t>
        </is>
      </c>
      <c r="K29" s="11" t="inlineStr">
        <is>
          <t>p.49</t>
        </is>
      </c>
    </row>
    <row r="30">
      <c r="A30" s="11" t="inlineStr">
        <is>
          <t>REQ029</t>
        </is>
      </c>
      <c r="B30" s="11" t="inlineStr">
        <is>
          <t>Payment</t>
        </is>
      </c>
      <c r="C30" s="11" t="inlineStr">
        <is>
          <t>Require payment screenshot upload</t>
        </is>
      </c>
      <c r="D30" s="13" t="inlineStr">
        <is>
          <t>Matches</t>
        </is>
      </c>
      <c r="E30" s="11" t="inlineStr">
        <is>
          <t>js/payment.js</t>
        </is>
      </c>
      <c r="F30" s="11" t="inlineStr">
        <is>
          <t>-</t>
        </is>
      </c>
      <c r="G30" s="11" t="inlineStr">
        <is>
          <t>None</t>
        </is>
      </c>
      <c r="H30" s="11" t="inlineStr"/>
      <c r="I30" s="11" t="inlineStr">
        <is>
          <t>Low</t>
        </is>
      </c>
      <c r="J30" s="11" t="inlineStr">
        <is>
          <t>-</t>
        </is>
      </c>
      <c r="K30" s="11" t="inlineStr">
        <is>
          <t>p.49</t>
        </is>
      </c>
    </row>
    <row r="31">
      <c r="A31" s="11" t="inlineStr">
        <is>
          <t>REQ030</t>
        </is>
      </c>
      <c r="B31" s="11" t="inlineStr">
        <is>
          <t>Payment</t>
        </is>
      </c>
      <c r="C31" s="11" t="inlineStr">
        <is>
          <t>Hold order pending verification until admin confirms</t>
        </is>
      </c>
      <c r="D31" s="13" t="inlineStr">
        <is>
          <t>Matches</t>
        </is>
      </c>
      <c r="E31" s="11" t="inlineStr">
        <is>
          <t>js/admin-online-orders.js:257</t>
        </is>
      </c>
      <c r="F31" s="11" t="inlineStr">
        <is>
          <t>-</t>
        </is>
      </c>
      <c r="G31" s="11" t="inlineStr">
        <is>
          <t>None</t>
        </is>
      </c>
      <c r="H31" s="11" t="inlineStr"/>
      <c r="I31" s="11" t="inlineStr">
        <is>
          <t>Low</t>
        </is>
      </c>
      <c r="J31" s="11" t="inlineStr">
        <is>
          <t>-</t>
        </is>
      </c>
      <c r="K31" s="11" t="inlineStr">
        <is>
          <t>p.49</t>
        </is>
      </c>
    </row>
    <row r="32">
      <c r="A32" s="11" t="inlineStr">
        <is>
          <t>REQ031</t>
        </is>
      </c>
      <c r="B32" s="11" t="inlineStr">
        <is>
          <t>My Orders</t>
        </is>
      </c>
      <c r="C32" s="11" t="inlineStr">
        <is>
          <t>Statuses: pending payment, payment verified, confirmed, dispatched, delivered, payment rejected</t>
        </is>
      </c>
      <c r="D32" s="16" t="inlineStr">
        <is>
          <t>Deviates</t>
        </is>
      </c>
      <c r="E32" s="11" t="inlineStr">
        <is>
          <t>js/orders.js:5</t>
        </is>
      </c>
      <c r="F32" s="11" t="inlineStr">
        <is>
          <t>System statuses: placed, payment_confirmed, dispatched, delivered, received, closed_unresolved, plus On Hold. No 'payment rejected'.</t>
        </is>
      </c>
      <c r="G32" s="11" t="inlineStr">
        <is>
          <t>Change paper</t>
        </is>
      </c>
      <c r="H32" s="11" t="inlineStr">
        <is>
          <t>System matches the hold/7-day policy in REQ096-100; update the status list.</t>
        </is>
      </c>
      <c r="I32" s="11" t="inlineStr">
        <is>
          <t>Med</t>
        </is>
      </c>
      <c r="J32" s="11" t="inlineStr">
        <is>
          <t>-</t>
        </is>
      </c>
      <c r="K32" s="11" t="inlineStr">
        <is>
          <t>p.50</t>
        </is>
      </c>
    </row>
    <row r="33">
      <c r="A33" s="11" t="inlineStr">
        <is>
          <t>REQ032</t>
        </is>
      </c>
      <c r="B33" s="11" t="inlineStr">
        <is>
          <t>My Orders</t>
        </is>
      </c>
      <c r="C33" s="11" t="inlineStr">
        <is>
          <t>View full order details</t>
        </is>
      </c>
      <c r="D33" s="13" t="inlineStr">
        <is>
          <t>Matches</t>
        </is>
      </c>
      <c r="E33" s="11" t="inlineStr">
        <is>
          <t>js/order-details.js:191</t>
        </is>
      </c>
      <c r="F33" s="11" t="inlineStr">
        <is>
          <t>-</t>
        </is>
      </c>
      <c r="G33" s="11" t="inlineStr">
        <is>
          <t>None</t>
        </is>
      </c>
      <c r="H33" s="11" t="inlineStr"/>
      <c r="I33" s="11" t="inlineStr">
        <is>
          <t>Low</t>
        </is>
      </c>
      <c r="J33" s="11" t="inlineStr">
        <is>
          <t>-</t>
        </is>
      </c>
      <c r="K33" s="11" t="inlineStr">
        <is>
          <t>p.50</t>
        </is>
      </c>
    </row>
    <row r="34">
      <c r="A34" s="11" t="inlineStr">
        <is>
          <t>REQ033</t>
        </is>
      </c>
      <c r="B34" s="11" t="inlineStr">
        <is>
          <t>My Orders</t>
        </is>
      </c>
      <c r="C34" s="11" t="inlineStr">
        <is>
          <t>View/download system receipt for completed orders</t>
        </is>
      </c>
      <c r="D34" s="13" t="inlineStr">
        <is>
          <t>Matches</t>
        </is>
      </c>
      <c r="E34" s="11" t="inlineStr">
        <is>
          <t>js/orders.js:247</t>
        </is>
      </c>
      <c r="F34" s="11" t="inlineStr">
        <is>
          <t>082ec92: receipt only after verification; PDF shows subtotal and store credit applied. (was: Receipt downloadable for any order (even unpaid); PDF shows only final total, not subtotal/credit applied.)</t>
        </is>
      </c>
      <c r="G34" s="11" t="inlineStr">
        <is>
          <t>None</t>
        </is>
      </c>
      <c r="H34" s="11" t="inlineStr">
        <is>
          <t>Small.</t>
        </is>
      </c>
      <c r="I34" s="11" t="inlineStr">
        <is>
          <t>Low</t>
        </is>
      </c>
      <c r="J34" s="11" t="inlineStr">
        <is>
          <t>S</t>
        </is>
      </c>
      <c r="K34" s="11" t="inlineStr">
        <is>
          <t>p.50</t>
        </is>
      </c>
    </row>
    <row r="35">
      <c r="A35" s="11" t="inlineStr">
        <is>
          <t>REQ034</t>
        </is>
      </c>
      <c r="B35" s="11" t="inlineStr">
        <is>
          <t>My Orders</t>
        </is>
      </c>
      <c r="C35" s="11" t="inlineStr">
        <is>
          <t>Customer monitors delivery progress</t>
        </is>
      </c>
      <c r="D35" s="13" t="inlineStr">
        <is>
          <t>Matches</t>
        </is>
      </c>
      <c r="E35" s="11" t="inlineStr">
        <is>
          <t>js/order-details.js (no trackingLink)</t>
        </is>
      </c>
      <c r="F35" s="11" t="inlineStr">
        <is>
          <t>Fixed: customer sees the Lalamove tracking link. (was: Status timeline shows, but the Lalamove tracking link staff paste is never shown to the customer.)</t>
        </is>
      </c>
      <c r="G35" s="11" t="inlineStr">
        <is>
          <t>None</t>
        </is>
      </c>
      <c r="H35" s="11" t="inlineStr">
        <is>
          <t>REQ104/105 and Activity 2.11 say the link is 'immediately reflected' to the customer.</t>
        </is>
      </c>
      <c r="I35" s="11" t="inlineStr">
        <is>
          <t>High</t>
        </is>
      </c>
      <c r="J35" s="11" t="inlineStr">
        <is>
          <t>S</t>
        </is>
      </c>
      <c r="K35" s="11" t="inlineStr">
        <is>
          <t>p.50; Fig 2.11</t>
        </is>
      </c>
    </row>
    <row r="36">
      <c r="A36" s="11" t="inlineStr">
        <is>
          <t>REQ035</t>
        </is>
      </c>
      <c r="B36" s="11" t="inlineStr">
        <is>
          <t>Live Chat</t>
        </is>
      </c>
      <c r="C36" s="11" t="inlineStr">
        <is>
          <t>Live chat for guests and customers</t>
        </is>
      </c>
      <c r="D36" s="15" t="inlineStr">
        <is>
          <t>Missing</t>
        </is>
      </c>
      <c r="E36" s="11" t="inlineStr">
        <is>
          <t>shop/*.html floating-chat-btn href='#'</t>
        </is>
      </c>
      <c r="F36" s="11" t="inlineStr">
        <is>
          <t>Buttons exist but go nowhere.</t>
        </is>
      </c>
      <c r="G36" s="11" t="inlineStr">
        <is>
          <t>Decision needed</t>
        </is>
      </c>
      <c r="H36" s="11" t="inlineStr">
        <is>
          <t>Large feature in objectives, scope, framework and comparative analysis. Options: build it, or scope down and move to Limitations.</t>
        </is>
      </c>
      <c r="I36" s="11" t="inlineStr">
        <is>
          <t>High</t>
        </is>
      </c>
      <c r="J36" s="11" t="inlineStr">
        <is>
          <t>L</t>
        </is>
      </c>
      <c r="K36" s="11" t="inlineStr">
        <is>
          <t>p.50; Obj. 1; Scope</t>
        </is>
      </c>
    </row>
    <row r="37">
      <c r="A37" s="11" t="inlineStr">
        <is>
          <t>REQ036</t>
        </is>
      </c>
      <c r="B37" s="11" t="inlineStr">
        <is>
          <t>Live Chat</t>
        </is>
      </c>
      <c r="C37" s="11" t="inlineStr">
        <is>
          <t>AI-powered responses (OpenAI) for common inquiries</t>
        </is>
      </c>
      <c r="D37" s="15" t="inlineStr">
        <is>
          <t>Missing</t>
        </is>
      </c>
      <c r="E37" s="11" t="inlineStr">
        <is>
          <t>-</t>
        </is>
      </c>
      <c r="F37" s="11" t="inlineStr">
        <is>
          <t>Not built. A browser-only app cannot hide an OpenAI key, so this needs a server function (e.g. Firebase Cloud Functions, Blaze plan).</t>
        </is>
      </c>
      <c r="G37" s="11" t="inlineStr">
        <is>
          <t>Decision needed</t>
        </is>
      </c>
      <c r="H37" s="11" t="inlineStr">
        <is>
          <t>Same decision as REQ035.</t>
        </is>
      </c>
      <c r="I37" s="11" t="inlineStr">
        <is>
          <t>High</t>
        </is>
      </c>
      <c r="J37" s="11" t="inlineStr">
        <is>
          <t>L</t>
        </is>
      </c>
      <c r="K37" s="11" t="inlineStr">
        <is>
          <t>p.50; NF008; NF012</t>
        </is>
      </c>
    </row>
    <row r="38">
      <c r="A38" s="11" t="inlineStr">
        <is>
          <t>REQ037</t>
        </is>
      </c>
      <c r="B38" s="11" t="inlineStr">
        <is>
          <t>Live Chat</t>
        </is>
      </c>
      <c r="C38" s="11" t="inlineStr">
        <is>
          <t>Escalate to staff when needed</t>
        </is>
      </c>
      <c r="D38" s="15" t="inlineStr">
        <is>
          <t>Missing</t>
        </is>
      </c>
      <c r="E38" s="11" t="inlineStr">
        <is>
          <t>-</t>
        </is>
      </c>
      <c r="F38" s="11" t="inlineStr">
        <is>
          <t>Not built.</t>
        </is>
      </c>
      <c r="G38" s="11" t="inlineStr">
        <is>
          <t>Decision needed</t>
        </is>
      </c>
      <c r="H38" s="11" t="inlineStr">
        <is>
          <t>Same decision as REQ035.</t>
        </is>
      </c>
      <c r="I38" s="11" t="inlineStr">
        <is>
          <t>High</t>
        </is>
      </c>
      <c r="J38" s="11" t="inlineStr">
        <is>
          <t>L</t>
        </is>
      </c>
      <c r="K38" s="11" t="inlineStr">
        <is>
          <t>p.50</t>
        </is>
      </c>
    </row>
    <row r="39">
      <c r="A39" s="11" t="inlineStr">
        <is>
          <t>REQ038</t>
        </is>
      </c>
      <c r="B39" s="11" t="inlineStr">
        <is>
          <t>Live Chat</t>
        </is>
      </c>
      <c r="C39" s="11" t="inlineStr">
        <is>
          <t>Notify staff of new/escalated chats</t>
        </is>
      </c>
      <c r="D39" s="15" t="inlineStr">
        <is>
          <t>Missing</t>
        </is>
      </c>
      <c r="E39" s="11" t="inlineStr">
        <is>
          <t>-</t>
        </is>
      </c>
      <c r="F39" s="11" t="inlineStr">
        <is>
          <t>Not built.</t>
        </is>
      </c>
      <c r="G39" s="11" t="inlineStr">
        <is>
          <t>Decision needed</t>
        </is>
      </c>
      <c r="H39" s="11" t="inlineStr">
        <is>
          <t>Same decision as REQ035.</t>
        </is>
      </c>
      <c r="I39" s="11" t="inlineStr">
        <is>
          <t>Med</t>
        </is>
      </c>
      <c r="J39" s="11" t="inlineStr">
        <is>
          <t>S</t>
        </is>
      </c>
      <c r="K39" s="11" t="inlineStr">
        <is>
          <t>p.50</t>
        </is>
      </c>
    </row>
    <row r="40">
      <c r="A40" s="11" t="inlineStr">
        <is>
          <t>REQ039</t>
        </is>
      </c>
      <c r="B40" s="11" t="inlineStr">
        <is>
          <t>Customer Notification</t>
        </is>
      </c>
      <c r="C40" s="11" t="inlineStr">
        <is>
          <t>In-platform and email notifications for order/payment/delivery updates</t>
        </is>
      </c>
      <c r="D40" s="14" t="inlineStr">
        <is>
          <t>Partial</t>
        </is>
      </c>
      <c r="E40" s="11" t="inlineStr">
        <is>
          <t>js/orders.js:108; js/shop-header.js:54</t>
        </is>
      </c>
      <c r="F40" s="11" t="inlineStr">
        <is>
          <t>In-platform bell works; no email notifications are sent (EmailJS is only used for OTP). No notification at all when an order is placed (Fig 2.10 'Send Order Submission Notification').</t>
        </is>
      </c>
      <c r="G40" s="11" t="inlineStr">
        <is>
          <t>Change system</t>
        </is>
      </c>
      <c r="H40" s="11" t="inlineStr">
        <is>
          <t>EmailJS already set up; free tier is 200 emails/month (Budget).</t>
        </is>
      </c>
      <c r="I40" s="11" t="inlineStr">
        <is>
          <t>Med</t>
        </is>
      </c>
      <c r="J40" s="11" t="inlineStr">
        <is>
          <t>M</t>
        </is>
      </c>
      <c r="K40" s="11" t="inlineStr">
        <is>
          <t>p.51; Fig 2.10</t>
        </is>
      </c>
    </row>
    <row r="41">
      <c r="A41" s="11" t="inlineStr">
        <is>
          <t>REQ040</t>
        </is>
      </c>
      <c r="B41" s="11" t="inlineStr">
        <is>
          <t>Account Settings</t>
        </is>
      </c>
      <c r="C41" s="11" t="inlineStr">
        <is>
          <t>Update name, address, contact no., profile picture</t>
        </is>
      </c>
      <c r="D41" s="13" t="inlineStr">
        <is>
          <t>Matches</t>
        </is>
      </c>
      <c r="E41" s="11" t="inlineStr">
        <is>
          <t>js/account-settings.js:87</t>
        </is>
      </c>
      <c r="F41" s="11" t="inlineStr">
        <is>
          <t>77336f3: profile photo upload in Account Settings. (was: No profile picture.)</t>
        </is>
      </c>
      <c r="G41" s="11" t="inlineStr">
        <is>
          <t>None</t>
        </is>
      </c>
      <c r="H41" s="11" t="inlineStr">
        <is>
          <t>Cloudinary upload already exists; small.</t>
        </is>
      </c>
      <c r="I41" s="11" t="inlineStr">
        <is>
          <t>Low</t>
        </is>
      </c>
      <c r="J41" s="11" t="inlineStr">
        <is>
          <t>S</t>
        </is>
      </c>
      <c r="K41" s="11" t="inlineStr">
        <is>
          <t>p.51</t>
        </is>
      </c>
    </row>
    <row r="42">
      <c r="A42" s="11" t="inlineStr">
        <is>
          <t>REQ041</t>
        </is>
      </c>
      <c r="B42" s="11" t="inlineStr">
        <is>
          <t>Account Settings</t>
        </is>
      </c>
      <c r="C42" s="11" t="inlineStr">
        <is>
          <t>Confirm current password before setting new one</t>
        </is>
      </c>
      <c r="D42" s="13" t="inlineStr">
        <is>
          <t>Matches</t>
        </is>
      </c>
      <c r="E42" s="11" t="inlineStr">
        <is>
          <t>js/account-settings.js:157</t>
        </is>
      </c>
      <c r="F42" s="11" t="inlineStr">
        <is>
          <t>-</t>
        </is>
      </c>
      <c r="G42" s="11" t="inlineStr">
        <is>
          <t>None</t>
        </is>
      </c>
      <c r="H42" s="11" t="inlineStr"/>
      <c r="I42" s="11" t="inlineStr">
        <is>
          <t>Low</t>
        </is>
      </c>
      <c r="J42" s="11" t="inlineStr">
        <is>
          <t>-</t>
        </is>
      </c>
      <c r="K42" s="11" t="inlineStr">
        <is>
          <t>p.51</t>
        </is>
      </c>
    </row>
    <row r="43">
      <c r="A43" s="11" t="inlineStr">
        <is>
          <t>REQ042</t>
        </is>
      </c>
      <c r="B43" s="11" t="inlineStr">
        <is>
          <t>Account Settings</t>
        </is>
      </c>
      <c r="C43" s="11" t="inlineStr">
        <is>
          <t>Enable/disable email notifications</t>
        </is>
      </c>
      <c r="D43" s="15" t="inlineStr">
        <is>
          <t>Missing</t>
        </is>
      </c>
      <c r="E43" s="11" t="inlineStr">
        <is>
          <t>-</t>
        </is>
      </c>
      <c r="F43" s="11" t="inlineStr">
        <is>
          <t>No toggle (and no email notifications yet).</t>
        </is>
      </c>
      <c r="G43" s="11" t="inlineStr">
        <is>
          <t>Change system</t>
        </is>
      </c>
      <c r="H43" s="11" t="inlineStr">
        <is>
          <t>Comes with REQ039.</t>
        </is>
      </c>
      <c r="I43" s="11" t="inlineStr">
        <is>
          <t>Low</t>
        </is>
      </c>
      <c r="J43" s="11" t="inlineStr">
        <is>
          <t>S</t>
        </is>
      </c>
      <c r="K43" s="11" t="inlineStr">
        <is>
          <t>p.51</t>
        </is>
      </c>
    </row>
    <row r="44">
      <c r="A44" s="11" t="inlineStr">
        <is>
          <t>REQ043</t>
        </is>
      </c>
      <c r="B44" s="11" t="inlineStr">
        <is>
          <t>Admin Login</t>
        </is>
      </c>
      <c r="C44" s="11" t="inlineStr">
        <is>
          <t>Staff log in with credentials created by Branch Manager; role permissions applied</t>
        </is>
      </c>
      <c r="D44" s="13" t="inlineStr">
        <is>
          <t>Matches</t>
        </is>
      </c>
      <c r="E44" s="11" t="inlineStr">
        <is>
          <t>js/auth.js:94; js/admin-staff-management.js:188</t>
        </is>
      </c>
      <c r="F44" s="11" t="inlineStr">
        <is>
          <t>-</t>
        </is>
      </c>
      <c r="G44" s="11" t="inlineStr">
        <is>
          <t>None</t>
        </is>
      </c>
      <c r="H44" s="11" t="inlineStr"/>
      <c r="I44" s="11" t="inlineStr">
        <is>
          <t>Low</t>
        </is>
      </c>
      <c r="J44" s="11" t="inlineStr">
        <is>
          <t>-</t>
        </is>
      </c>
      <c r="K44" s="11" t="inlineStr">
        <is>
          <t>p.51</t>
        </is>
      </c>
    </row>
    <row r="45">
      <c r="A45" s="11" t="inlineStr">
        <is>
          <t>REQ044</t>
        </is>
      </c>
      <c r="B45" s="11" t="inlineStr">
        <is>
          <t>Admin Login</t>
        </is>
      </c>
      <c r="C45" s="11" t="inlineStr">
        <is>
          <t>Staff OTP only on unrecognized device</t>
        </is>
      </c>
      <c r="D45" s="15" t="inlineStr">
        <is>
          <t>Missing</t>
        </is>
      </c>
      <c r="E45" s="11" t="inlineStr">
        <is>
          <t>-</t>
        </is>
      </c>
      <c r="F45" s="11" t="inlineStr">
        <is>
          <t>Not built (same as REQ005).</t>
        </is>
      </c>
      <c r="G45" s="11" t="inlineStr">
        <is>
          <t>Change system</t>
        </is>
      </c>
      <c r="H45" s="11" t="inlineStr">
        <is>
          <t>Do together with REQ005.</t>
        </is>
      </c>
      <c r="I45" s="11" t="inlineStr">
        <is>
          <t>Med</t>
        </is>
      </c>
      <c r="J45" s="11" t="inlineStr">
        <is>
          <t>M</t>
        </is>
      </c>
      <c r="K45" s="11" t="inlineStr">
        <is>
          <t>p.51; Fig 2.8</t>
        </is>
      </c>
    </row>
    <row r="46">
      <c r="A46" s="11" t="inlineStr">
        <is>
          <t>REQ045</t>
        </is>
      </c>
      <c r="B46" s="11" t="inlineStr">
        <is>
          <t>Admin Login</t>
        </is>
      </c>
      <c r="C46" s="11" t="inlineStr">
        <is>
          <t>Staff lockout after 5 failed attempts</t>
        </is>
      </c>
      <c r="D46" s="13" t="inlineStr">
        <is>
          <t>Matches</t>
        </is>
      </c>
      <c r="E46" s="11" t="inlineStr">
        <is>
          <t>js/auth.js:57</t>
        </is>
      </c>
      <c r="F46" s="11" t="inlineStr">
        <is>
          <t>Shared with customer login.</t>
        </is>
      </c>
      <c r="G46" s="11" t="inlineStr">
        <is>
          <t>None</t>
        </is>
      </c>
      <c r="H46" s="11" t="inlineStr"/>
      <c r="I46" s="11" t="inlineStr">
        <is>
          <t>Low</t>
        </is>
      </c>
      <c r="J46" s="11" t="inlineStr">
        <is>
          <t>-</t>
        </is>
      </c>
      <c r="K46" s="11" t="inlineStr">
        <is>
          <t>p.51</t>
        </is>
      </c>
    </row>
    <row r="47">
      <c r="A47" s="11" t="inlineStr">
        <is>
          <t>REQ046</t>
        </is>
      </c>
      <c r="B47" s="11" t="inlineStr">
        <is>
          <t>Admin Login</t>
        </is>
      </c>
      <c r="C47" s="11" t="inlineStr">
        <is>
          <t>Staff password reset link</t>
        </is>
      </c>
      <c r="D47" s="13" t="inlineStr">
        <is>
          <t>Matches</t>
        </is>
      </c>
      <c r="E47" s="11" t="inlineStr">
        <is>
          <t>js/forgot-password.js:51</t>
        </is>
      </c>
      <c r="F47" s="11" t="inlineStr">
        <is>
          <t>-</t>
        </is>
      </c>
      <c r="G47" s="11" t="inlineStr">
        <is>
          <t>None</t>
        </is>
      </c>
      <c r="H47" s="11" t="inlineStr"/>
      <c r="I47" s="11" t="inlineStr">
        <is>
          <t>Low</t>
        </is>
      </c>
      <c r="J47" s="11" t="inlineStr">
        <is>
          <t>-</t>
        </is>
      </c>
      <c r="K47" s="11" t="inlineStr">
        <is>
          <t>p.51</t>
        </is>
      </c>
    </row>
    <row r="48">
      <c r="A48" s="11" t="inlineStr">
        <is>
          <t>REQ047</t>
        </is>
      </c>
      <c r="B48" s="11" t="inlineStr">
        <is>
          <t>Dashboard</t>
        </is>
      </c>
      <c r="C48" s="11" t="inlineStr">
        <is>
          <t>Daily sales, active orders, low stock, near expiry, pending verifications, quick navigation</t>
        </is>
      </c>
      <c r="D48" s="13" t="inlineStr">
        <is>
          <t>Matches</t>
        </is>
      </c>
      <c r="E48" s="11" t="inlineStr">
        <is>
          <t>js/admin-dashboard.js:129</t>
        </is>
      </c>
      <c r="F48" s="11" t="inlineStr">
        <is>
          <t>Exceeds paper (charts, period filter, out-of-stock). 'Active Online Orders' wrongly counts delivered and closed orders.</t>
        </is>
      </c>
      <c r="G48" s="11" t="inlineStr">
        <is>
          <t>Change system</t>
        </is>
      </c>
      <c r="H48" s="11" t="inlineStr">
        <is>
          <t>Count fix is one line.</t>
        </is>
      </c>
      <c r="I48" s="11" t="inlineStr">
        <is>
          <t>Low</t>
        </is>
      </c>
      <c r="J48" s="11" t="inlineStr">
        <is>
          <t>S</t>
        </is>
      </c>
      <c r="K48" s="11" t="inlineStr">
        <is>
          <t>p.52</t>
        </is>
      </c>
    </row>
    <row r="49">
      <c r="A49" s="11" t="inlineStr">
        <is>
          <t>REQ048</t>
        </is>
      </c>
      <c r="B49" s="11" t="inlineStr">
        <is>
          <t>Admin Notifications</t>
        </is>
      </c>
      <c r="C49" s="11" t="inlineStr">
        <is>
          <t>Notify BM + Technical of new orders, payments, stock, expiry, wholesale updates, chat</t>
        </is>
      </c>
      <c r="D49" s="14" t="inlineStr">
        <is>
          <t>Partial</t>
        </is>
      </c>
      <c r="E49" s="11" t="inlineStr">
        <is>
          <t>js/products-data.js:257</t>
        </is>
      </c>
      <c r="F49" s="11" t="inlineStr">
        <is>
          <t>57f4d80: no longer shown to Sales Staff. Still missing wholesale-order and chat notifications. (was: Covers orders, payments, stock, expiry, PO discrepancies. No wholesale order updates or chat. Also shown to Sales Staff.)</t>
        </is>
      </c>
      <c r="G49" s="11" t="inlineStr">
        <is>
          <t>Change system</t>
        </is>
      </c>
      <c r="H49" s="11" t="inlineStr">
        <is>
          <t>Wholesale/chat parts depend on those features.</t>
        </is>
      </c>
      <c r="I49" s="11" t="inlineStr">
        <is>
          <t>Low</t>
        </is>
      </c>
      <c r="J49" s="11" t="inlineStr">
        <is>
          <t>S</t>
        </is>
      </c>
      <c r="K49" s="11" t="inlineStr">
        <is>
          <t>p.52</t>
        </is>
      </c>
    </row>
    <row r="50">
      <c r="A50" s="11" t="inlineStr">
        <is>
          <t>REQ049</t>
        </is>
      </c>
      <c r="B50" s="11" t="inlineStr">
        <is>
          <t>Inventory</t>
        </is>
      </c>
      <c r="C50" s="11" t="inlineStr">
        <is>
          <t>Inventory list per product by batch, with supplier details</t>
        </is>
      </c>
      <c r="D50" s="13" t="inlineStr">
        <is>
          <t>Matches</t>
        </is>
      </c>
      <c r="E50" s="11" t="inlineStr">
        <is>
          <t>admin/inventory.html:153</t>
        </is>
      </c>
      <c r="F50" s="11" t="inlineStr">
        <is>
          <t>06574da: batch table has a Supplier column (with receipt/DR no.). (was: Batch table has no supplier column.)</t>
        </is>
      </c>
      <c r="G50" s="11" t="inlineStr">
        <is>
          <t>None</t>
        </is>
      </c>
      <c r="H50" s="11" t="inlineStr">
        <is>
          <t>Data exists (supplierId on batch); add column.</t>
        </is>
      </c>
      <c r="I50" s="11" t="inlineStr">
        <is>
          <t>Low</t>
        </is>
      </c>
      <c r="J50" s="11" t="inlineStr">
        <is>
          <t>S</t>
        </is>
      </c>
      <c r="K50" s="11" t="inlineStr">
        <is>
          <t>p.52</t>
        </is>
      </c>
    </row>
    <row r="51">
      <c r="A51" s="11" t="inlineStr">
        <is>
          <t>REQ050</t>
        </is>
      </c>
      <c r="B51" s="11" t="inlineStr">
        <is>
          <t>Inventory</t>
        </is>
      </c>
      <c r="C51" s="11" t="inlineStr">
        <is>
          <t>Consistent stock across concurrent transactions</t>
        </is>
      </c>
      <c r="D51" s="13" t="inlineStr">
        <is>
          <t>Matches</t>
        </is>
      </c>
      <c r="E51" s="11" t="inlineStr">
        <is>
          <t>js/products-data.js:606</t>
        </is>
      </c>
      <c r="F51" s="11" t="inlineStr">
        <is>
          <t>Firestore transactions (FEFO multi-item).</t>
        </is>
      </c>
      <c r="G51" s="11" t="inlineStr">
        <is>
          <t>None</t>
        </is>
      </c>
      <c r="H51" s="11" t="inlineStr"/>
      <c r="I51" s="11" t="inlineStr">
        <is>
          <t>Low</t>
        </is>
      </c>
      <c r="J51" s="11" t="inlineStr">
        <is>
          <t>-</t>
        </is>
      </c>
      <c r="K51" s="11" t="inlineStr">
        <is>
          <t>p.52</t>
        </is>
      </c>
    </row>
    <row r="52">
      <c r="A52" s="11" t="inlineStr">
        <is>
          <t>REQ051</t>
        </is>
      </c>
      <c r="B52" s="11" t="inlineStr">
        <is>
          <t>Inventory</t>
        </is>
      </c>
      <c r="C52" s="11" t="inlineStr">
        <is>
          <t>Record write-offs</t>
        </is>
      </c>
      <c r="D52" s="13" t="inlineStr">
        <is>
          <t>Matches</t>
        </is>
      </c>
      <c r="E52" s="11" t="inlineStr">
        <is>
          <t>js/admin-inventory.js:994</t>
        </is>
      </c>
      <c r="F52" s="11" t="inlineStr">
        <is>
          <t>-</t>
        </is>
      </c>
      <c r="G52" s="11" t="inlineStr">
        <is>
          <t>None</t>
        </is>
      </c>
      <c r="H52" s="11" t="inlineStr"/>
      <c r="I52" s="11" t="inlineStr">
        <is>
          <t>Low</t>
        </is>
      </c>
      <c r="J52" s="11" t="inlineStr">
        <is>
          <t>-</t>
        </is>
      </c>
      <c r="K52" s="11" t="inlineStr">
        <is>
          <t>p.52</t>
        </is>
      </c>
    </row>
    <row r="53">
      <c r="A53" s="11" t="inlineStr">
        <is>
          <t>REQ052</t>
        </is>
      </c>
      <c r="B53" s="11" t="inlineStr">
        <is>
          <t>Inventory</t>
        </is>
      </c>
      <c r="C53" s="11" t="inlineStr">
        <is>
          <t>Reason required for write-off</t>
        </is>
      </c>
      <c r="D53" s="13" t="inlineStr">
        <is>
          <t>Matches</t>
        </is>
      </c>
      <c r="E53" s="11" t="inlineStr">
        <is>
          <t>js/admin-inventory.js:994</t>
        </is>
      </c>
      <c r="F53" s="11" t="inlineStr">
        <is>
          <t>-</t>
        </is>
      </c>
      <c r="G53" s="11" t="inlineStr">
        <is>
          <t>None</t>
        </is>
      </c>
      <c r="H53" s="11" t="inlineStr"/>
      <c r="I53" s="11" t="inlineStr">
        <is>
          <t>Low</t>
        </is>
      </c>
      <c r="J53" s="11" t="inlineStr">
        <is>
          <t>-</t>
        </is>
      </c>
      <c r="K53" s="11" t="inlineStr">
        <is>
          <t>p.52</t>
        </is>
      </c>
    </row>
    <row r="54">
      <c r="A54" s="11" t="inlineStr">
        <is>
          <t>REQ053</t>
        </is>
      </c>
      <c r="B54" s="11" t="inlineStr">
        <is>
          <t>Purchase Orders</t>
        </is>
      </c>
      <c r="C54" s="11" t="inlineStr">
        <is>
          <t>Create PO: supplier, products, quantities, date; Pending</t>
        </is>
      </c>
      <c r="D54" s="13" t="inlineStr">
        <is>
          <t>Matches</t>
        </is>
      </c>
      <c r="E54" s="11" t="inlineStr">
        <is>
          <t>js/admin-inventory.js:1442</t>
        </is>
      </c>
      <c r="F54" s="11" t="inlineStr">
        <is>
          <t>-</t>
        </is>
      </c>
      <c r="G54" s="11" t="inlineStr">
        <is>
          <t>None</t>
        </is>
      </c>
      <c r="H54" s="11" t="inlineStr"/>
      <c r="I54" s="11" t="inlineStr">
        <is>
          <t>Low</t>
        </is>
      </c>
      <c r="J54" s="11" t="inlineStr">
        <is>
          <t>-</t>
        </is>
      </c>
      <c r="K54" s="11" t="inlineStr">
        <is>
          <t>p.52</t>
        </is>
      </c>
    </row>
    <row r="55">
      <c r="A55" s="11" t="inlineStr">
        <is>
          <t>REQ054</t>
        </is>
      </c>
      <c r="B55" s="11" t="inlineStr">
        <is>
          <t>Purchase Orders</t>
        </is>
      </c>
      <c r="C55" s="11" t="inlineStr">
        <is>
          <t>Link delivery to existing PO when receiving</t>
        </is>
      </c>
      <c r="D55" s="13" t="inlineStr">
        <is>
          <t>Matches</t>
        </is>
      </c>
      <c r="E55" s="11" t="inlineStr">
        <is>
          <t>js/admin-inventory.js:1548</t>
        </is>
      </c>
      <c r="F55" s="11" t="inlineStr">
        <is>
          <t>Receiving is done from inside the PO.</t>
        </is>
      </c>
      <c r="G55" s="11" t="inlineStr">
        <is>
          <t>None</t>
        </is>
      </c>
      <c r="H55" s="11" t="inlineStr"/>
      <c r="I55" s="11" t="inlineStr">
        <is>
          <t>Low</t>
        </is>
      </c>
      <c r="J55" s="11" t="inlineStr">
        <is>
          <t>-</t>
        </is>
      </c>
      <c r="K55" s="11" t="inlineStr">
        <is>
          <t>p.53</t>
        </is>
      </c>
    </row>
    <row r="56">
      <c r="A56" s="11" t="inlineStr">
        <is>
          <t>REQ055</t>
        </is>
      </c>
      <c r="B56" s="11" t="inlineStr">
        <is>
          <t>Purchase Orders</t>
        </is>
      </c>
      <c r="C56" s="11" t="inlineStr">
        <is>
          <t>Auto-compare received vs PO quantities</t>
        </is>
      </c>
      <c r="D56" s="13" t="inlineStr">
        <is>
          <t>Matches</t>
        </is>
      </c>
      <c r="E56" s="11" t="inlineStr">
        <is>
          <t>js/admin-inventory.js:1548</t>
        </is>
      </c>
      <c r="F56" s="11" t="inlineStr">
        <is>
          <t>-</t>
        </is>
      </c>
      <c r="G56" s="11" t="inlineStr">
        <is>
          <t>None</t>
        </is>
      </c>
      <c r="H56" s="11" t="inlineStr"/>
      <c r="I56" s="11" t="inlineStr">
        <is>
          <t>Low</t>
        </is>
      </c>
      <c r="J56" s="11" t="inlineStr">
        <is>
          <t>-</t>
        </is>
      </c>
      <c r="K56" s="11" t="inlineStr">
        <is>
          <t>p.53</t>
        </is>
      </c>
    </row>
    <row r="57">
      <c r="A57" s="11" t="inlineStr">
        <is>
          <t>REQ056</t>
        </is>
      </c>
      <c r="B57" s="11" t="inlineStr">
        <is>
          <t>Purchase Orders</t>
        </is>
      </c>
      <c r="C57" s="11" t="inlineStr">
        <is>
          <t>Discrepancy report + PO status Discrepancy</t>
        </is>
      </c>
      <c r="D57" s="13" t="inlineStr">
        <is>
          <t>Matches</t>
        </is>
      </c>
      <c r="E57" s="11" t="inlineStr">
        <is>
          <t>js/admin-inventory.js:1548</t>
        </is>
      </c>
      <c r="F57" s="11" t="inlineStr">
        <is>
          <t>Shown on screen per PO; variance is per product (batch is recorded per line).</t>
        </is>
      </c>
      <c r="G57" s="11" t="inlineStr">
        <is>
          <t>None</t>
        </is>
      </c>
      <c r="H57" s="11" t="inlineStr"/>
      <c r="I57" s="11" t="inlineStr">
        <is>
          <t>Low</t>
        </is>
      </c>
      <c r="J57" s="11" t="inlineStr">
        <is>
          <t>-</t>
        </is>
      </c>
      <c r="K57" s="11" t="inlineStr">
        <is>
          <t>p.53</t>
        </is>
      </c>
    </row>
    <row r="58">
      <c r="A58" s="11" t="inlineStr">
        <is>
          <t>REQ057</t>
        </is>
      </c>
      <c r="B58" s="11" t="inlineStr">
        <is>
          <t>Purchase Orders</t>
        </is>
      </c>
      <c r="C58" s="11" t="inlineStr">
        <is>
          <t>Received when matched; acknowledgment to close Discrepancy</t>
        </is>
      </c>
      <c r="D58" s="13" t="inlineStr">
        <is>
          <t>Matches</t>
        </is>
      </c>
      <c r="E58" s="11" t="inlineStr">
        <is>
          <t>js/admin-inventory.js:1657</t>
        </is>
      </c>
      <c r="F58" s="11" t="inlineStr">
        <is>
          <t>-</t>
        </is>
      </c>
      <c r="G58" s="11" t="inlineStr">
        <is>
          <t>None</t>
        </is>
      </c>
      <c r="H58" s="11" t="inlineStr"/>
      <c r="I58" s="11" t="inlineStr">
        <is>
          <t>Low</t>
        </is>
      </c>
      <c r="J58" s="11" t="inlineStr">
        <is>
          <t>-</t>
        </is>
      </c>
      <c r="K58" s="11" t="inlineStr">
        <is>
          <t>p.53</t>
        </is>
      </c>
    </row>
    <row r="59">
      <c r="A59" s="11" t="inlineStr">
        <is>
          <t>REQ058</t>
        </is>
      </c>
      <c r="B59" s="11" t="inlineStr">
        <is>
          <t>Purchase Orders</t>
        </is>
      </c>
      <c r="C59" s="11" t="inlineStr">
        <is>
          <t>Discrepancy reports by date range, PDF/Excel</t>
        </is>
      </c>
      <c r="D59" s="15" t="inlineStr">
        <is>
          <t>Missing</t>
        </is>
      </c>
      <c r="E59" s="11" t="inlineStr">
        <is>
          <t>-</t>
        </is>
      </c>
      <c r="F59" s="11" t="inlineStr">
        <is>
          <t>No discrepancy report export.</t>
        </is>
      </c>
      <c r="G59" s="11" t="inlineStr">
        <is>
          <t>Change system</t>
        </is>
      </c>
      <c r="H59" s="11" t="inlineStr">
        <is>
          <t>Part of the Reports module.</t>
        </is>
      </c>
      <c r="I59" s="11" t="inlineStr">
        <is>
          <t>Med</t>
        </is>
      </c>
      <c r="J59" s="11" t="inlineStr">
        <is>
          <t>M</t>
        </is>
      </c>
      <c r="K59" s="11" t="inlineStr">
        <is>
          <t>p.53</t>
        </is>
      </c>
    </row>
    <row r="60">
      <c r="A60" s="11" t="inlineStr">
        <is>
          <t>REQ059</t>
        </is>
      </c>
      <c r="B60" s="11" t="inlineStr">
        <is>
          <t>Stock Reconciliation</t>
        </is>
      </c>
      <c r="C60" s="11" t="inlineStr">
        <is>
          <t>Input physical counts</t>
        </is>
      </c>
      <c r="D60" s="13" t="inlineStr">
        <is>
          <t>Matches</t>
        </is>
      </c>
      <c r="E60" s="11" t="inlineStr">
        <is>
          <t>js/admin-inventory.js:1233</t>
        </is>
      </c>
      <c r="F60" s="11" t="inlineStr">
        <is>
          <t>-</t>
        </is>
      </c>
      <c r="G60" s="11" t="inlineStr">
        <is>
          <t>None</t>
        </is>
      </c>
      <c r="H60" s="11" t="inlineStr"/>
      <c r="I60" s="11" t="inlineStr">
        <is>
          <t>Low</t>
        </is>
      </c>
      <c r="J60" s="11" t="inlineStr">
        <is>
          <t>-</t>
        </is>
      </c>
      <c r="K60" s="11" t="inlineStr">
        <is>
          <t>p.53</t>
        </is>
      </c>
    </row>
    <row r="61">
      <c r="A61" s="11" t="inlineStr">
        <is>
          <t>REQ060</t>
        </is>
      </c>
      <c r="B61" s="11" t="inlineStr">
        <is>
          <t>Stock Reconciliation</t>
        </is>
      </c>
      <c r="C61" s="11" t="inlineStr">
        <is>
          <t>Auto variance calculation</t>
        </is>
      </c>
      <c r="D61" s="13" t="inlineStr">
        <is>
          <t>Matches</t>
        </is>
      </c>
      <c r="E61" s="11" t="inlineStr">
        <is>
          <t>js/admin-inventory.js</t>
        </is>
      </c>
      <c r="F61" s="11" t="inlineStr">
        <is>
          <t>-</t>
        </is>
      </c>
      <c r="G61" s="11" t="inlineStr">
        <is>
          <t>None</t>
        </is>
      </c>
      <c r="H61" s="11" t="inlineStr"/>
      <c r="I61" s="11" t="inlineStr">
        <is>
          <t>Low</t>
        </is>
      </c>
      <c r="J61" s="11" t="inlineStr">
        <is>
          <t>-</t>
        </is>
      </c>
      <c r="K61" s="11" t="inlineStr">
        <is>
          <t>p.53</t>
        </is>
      </c>
    </row>
    <row r="62">
      <c r="A62" s="11" t="inlineStr">
        <is>
          <t>REQ061</t>
        </is>
      </c>
      <c r="B62" s="11" t="inlineStr">
        <is>
          <t>Stock Reconciliation</t>
        </is>
      </c>
      <c r="C62" s="11" t="inlineStr">
        <is>
          <t>Branch Manager finalizes; variance reason in Audit Log</t>
        </is>
      </c>
      <c r="D62" s="13" t="inlineStr">
        <is>
          <t>Matches</t>
        </is>
      </c>
      <c r="E62" s="11" t="inlineStr">
        <is>
          <t>js/admin-inventory.js:1233</t>
        </is>
      </c>
      <c r="F62" s="11" t="inlineStr">
        <is>
          <t>06574da: only the Branch Manager finalizes; others save the count; variance reason required and logged with each batch's change. (was: Any staff with Inventory access can finalize; no variance reason is asked or logged (only a count of adjusted batches).)</t>
        </is>
      </c>
      <c r="G62" s="11" t="inlineStr">
        <is>
          <t>None</t>
        </is>
      </c>
      <c r="H62" s="11" t="inlineStr">
        <is>
          <t>Small role check + reason field. Fig 2.5 shows Technical Staff doing reconciliation - see Contradictions C5.</t>
        </is>
      </c>
      <c r="I62" s="11" t="inlineStr">
        <is>
          <t>Med</t>
        </is>
      </c>
      <c r="J62" s="11" t="inlineStr">
        <is>
          <t>S</t>
        </is>
      </c>
      <c r="K62" s="11" t="inlineStr">
        <is>
          <t>p.53; Fig 2.5</t>
        </is>
      </c>
    </row>
    <row r="63">
      <c r="A63" s="11" t="inlineStr">
        <is>
          <t>REQ062</t>
        </is>
      </c>
      <c r="B63" s="11" t="inlineStr">
        <is>
          <t>Stock Receiving</t>
        </is>
      </c>
      <c r="C63" s="11" t="inlineStr">
        <is>
          <t>Record deliveries: product, qty, batch, expiry, supplier</t>
        </is>
      </c>
      <c r="D63" s="13" t="inlineStr">
        <is>
          <t>Matches</t>
        </is>
      </c>
      <c r="E63" s="11" t="inlineStr">
        <is>
          <t>js/admin-inventory.js:537</t>
        </is>
      </c>
      <c r="F63" s="11" t="inlineStr">
        <is>
          <t>-</t>
        </is>
      </c>
      <c r="G63" s="11" t="inlineStr">
        <is>
          <t>None</t>
        </is>
      </c>
      <c r="H63" s="11" t="inlineStr"/>
      <c r="I63" s="11" t="inlineStr">
        <is>
          <t>Low</t>
        </is>
      </c>
      <c r="J63" s="11" t="inlineStr">
        <is>
          <t>-</t>
        </is>
      </c>
      <c r="K63" s="11" t="inlineStr">
        <is>
          <t>p.54</t>
        </is>
      </c>
    </row>
    <row r="64">
      <c r="A64" s="11" t="inlineStr">
        <is>
          <t>REQ063</t>
        </is>
      </c>
      <c r="B64" s="11" t="inlineStr">
        <is>
          <t>Stock Receiving</t>
        </is>
      </c>
      <c r="C64" s="11" t="inlineStr">
        <is>
          <t>Stock added immediately on confirmation</t>
        </is>
      </c>
      <c r="D64" s="13" t="inlineStr">
        <is>
          <t>Matches</t>
        </is>
      </c>
      <c r="E64" s="11" t="inlineStr">
        <is>
          <t>js/admin-inventory.js:537</t>
        </is>
      </c>
      <c r="F64" s="11" t="inlineStr">
        <is>
          <t>-</t>
        </is>
      </c>
      <c r="G64" s="11" t="inlineStr">
        <is>
          <t>None</t>
        </is>
      </c>
      <c r="H64" s="11" t="inlineStr"/>
      <c r="I64" s="11" t="inlineStr">
        <is>
          <t>Low</t>
        </is>
      </c>
      <c r="J64" s="11" t="inlineStr">
        <is>
          <t>-</t>
        </is>
      </c>
      <c r="K64" s="11" t="inlineStr">
        <is>
          <t>p.54</t>
        </is>
      </c>
    </row>
    <row r="65">
      <c r="A65" s="11" t="inlineStr">
        <is>
          <t>REQ064</t>
        </is>
      </c>
      <c r="B65" s="11" t="inlineStr">
        <is>
          <t>Batch Upload</t>
        </is>
      </c>
      <c r="C65" s="11" t="inlineStr">
        <is>
          <t>Bulk stock upload via Excel/CSV template</t>
        </is>
      </c>
      <c r="D65" s="13" t="inlineStr">
        <is>
          <t>Matches</t>
        </is>
      </c>
      <c r="E65" s="11" t="inlineStr">
        <is>
          <t>js/admin-inventory.js:727</t>
        </is>
      </c>
      <c r="F65" s="11" t="inlineStr">
        <is>
          <t>Also available for products.</t>
        </is>
      </c>
      <c r="G65" s="11" t="inlineStr">
        <is>
          <t>None</t>
        </is>
      </c>
      <c r="H65" s="11" t="inlineStr"/>
      <c r="I65" s="11" t="inlineStr">
        <is>
          <t>Low</t>
        </is>
      </c>
      <c r="J65" s="11" t="inlineStr">
        <is>
          <t>-</t>
        </is>
      </c>
      <c r="K65" s="11" t="inlineStr">
        <is>
          <t>p.54</t>
        </is>
      </c>
    </row>
    <row r="66">
      <c r="A66" s="11" t="inlineStr">
        <is>
          <t>REQ065</t>
        </is>
      </c>
      <c r="B66" s="11" t="inlineStr">
        <is>
          <t>FEFO</t>
        </is>
      </c>
      <c r="C66" s="11" t="inlineStr">
        <is>
          <t>FEFO across all transactions</t>
        </is>
      </c>
      <c r="D66" s="13" t="inlineStr">
        <is>
          <t>Matches</t>
        </is>
      </c>
      <c r="E66" s="11" t="inlineStr">
        <is>
          <t>js/products-data.js:606</t>
        </is>
      </c>
      <c r="F66" s="11" t="inlineStr">
        <is>
          <t>-</t>
        </is>
      </c>
      <c r="G66" s="11" t="inlineStr">
        <is>
          <t>None</t>
        </is>
      </c>
      <c r="H66" s="11" t="inlineStr"/>
      <c r="I66" s="11" t="inlineStr">
        <is>
          <t>Low</t>
        </is>
      </c>
      <c r="J66" s="11" t="inlineStr">
        <is>
          <t>-</t>
        </is>
      </c>
      <c r="K66" s="11" t="inlineStr">
        <is>
          <t>p.54</t>
        </is>
      </c>
    </row>
    <row r="67">
      <c r="A67" s="11" t="inlineStr">
        <is>
          <t>REQ066</t>
        </is>
      </c>
      <c r="B67" s="11" t="inlineStr">
        <is>
          <t>FEFO</t>
        </is>
      </c>
      <c r="C67" s="11" t="inlineStr">
        <is>
          <t>Flag batches within 6 months; remove from sellable; wholesale free-of-cost only</t>
        </is>
      </c>
      <c r="D67" s="13" t="inlineStr">
        <is>
          <t>Matches</t>
        </is>
      </c>
      <c r="E67" s="11" t="inlineStr">
        <is>
          <t>js/products-data.js:384; js/admin-inventory.js (only caller)</t>
        </is>
      </c>
      <c r="F67" s="11" t="inlineStr">
        <is>
          <t>Fixed: retail stock excludes near-expiry batches by date on every load and sale; expired stock never sold. (was: The flag only runs when someone opens the Inventory page. Until then, near-expiry batches stay sellable online and at the POS. Free-of-cost distribution is not a recorded transaction type (see REQ091).)</t>
        </is>
      </c>
      <c r="G67" s="11" t="inlineStr">
        <is>
          <t>None</t>
        </is>
      </c>
      <c r="H67" s="11" t="inlineStr">
        <is>
          <t>This is the title feature ('Real-Time Expiry Monitoring') and Objective 2; exclude near-expiry batches from sellable stock by date everywhere, not only on that page.</t>
        </is>
      </c>
      <c r="I67" s="11" t="inlineStr">
        <is>
          <t>High</t>
        </is>
      </c>
      <c r="J67" s="11" t="inlineStr">
        <is>
          <t>S</t>
        </is>
      </c>
      <c r="K67" s="11" t="inlineStr">
        <is>
          <t>p.54; Title; Obj. 2</t>
        </is>
      </c>
    </row>
    <row r="68">
      <c r="A68" s="11" t="inlineStr">
        <is>
          <t>REQ067</t>
        </is>
      </c>
      <c r="B68" s="11" t="inlineStr">
        <is>
          <t>FEFO</t>
        </is>
      </c>
      <c r="C68" s="11" t="inlineStr">
        <is>
          <t>Within 2 months: Bad Order, disposal alert, auto-deduct</t>
        </is>
      </c>
      <c r="D68" s="15" t="inlineStr">
        <is>
          <t>Missing</t>
        </is>
      </c>
      <c r="E68" s="11" t="inlineStr">
        <is>
          <t>-</t>
        </is>
      </c>
      <c r="F68" s="11" t="inlineStr">
        <is>
          <t>No 2-month Bad Order handling.</t>
        </is>
      </c>
      <c r="G68" s="11" t="inlineStr">
        <is>
          <t>Change system</t>
        </is>
      </c>
      <c r="H68" s="11" t="inlineStr">
        <is>
          <t>Client described this exact practice (Interview 1).</t>
        </is>
      </c>
      <c r="I68" s="11" t="inlineStr">
        <is>
          <t>Med</t>
        </is>
      </c>
      <c r="J68" s="11" t="inlineStr">
        <is>
          <t>M</t>
        </is>
      </c>
      <c r="K68" s="11" t="inlineStr">
        <is>
          <t>p.54; Interview 1</t>
        </is>
      </c>
    </row>
    <row r="69">
      <c r="A69" s="11" t="inlineStr">
        <is>
          <t>REQ068</t>
        </is>
      </c>
      <c r="B69" s="11" t="inlineStr">
        <is>
          <t>Product Management</t>
        </is>
      </c>
      <c r="C69" s="11" t="inlineStr">
        <is>
          <t>Create/edit/remove products incl. dosage notes, costing, retail, wholesale, image</t>
        </is>
      </c>
      <c r="D69" s="13" t="inlineStr">
        <is>
          <t>Matches</t>
        </is>
      </c>
      <c r="E69" s="11" t="inlineStr">
        <is>
          <t>js/admin-products.js:347</t>
        </is>
      </c>
      <c r="F69" s="11" t="inlineStr">
        <is>
          <t>06574da: dosage notes field added to the product form. (was: No dosage notes field.)</t>
        </is>
      </c>
      <c r="G69" s="11" t="inlineStr">
        <is>
          <t>None</t>
        </is>
      </c>
      <c r="H69" s="11" t="inlineStr">
        <is>
          <t>Same as REQ013.</t>
        </is>
      </c>
      <c r="I69" s="11" t="inlineStr">
        <is>
          <t>Low</t>
        </is>
      </c>
      <c r="J69" s="11" t="inlineStr">
        <is>
          <t>S</t>
        </is>
      </c>
      <c r="K69" s="11" t="inlineStr">
        <is>
          <t>p.54</t>
        </is>
      </c>
    </row>
    <row r="70">
      <c r="A70" s="11" t="inlineStr">
        <is>
          <t>REQ069</t>
        </is>
      </c>
      <c r="B70" s="11" t="inlineStr">
        <is>
          <t>Product Management</t>
        </is>
      </c>
      <c r="C70" s="11" t="inlineStr">
        <is>
          <t>Supplier records linked to products</t>
        </is>
      </c>
      <c r="D70" s="13" t="inlineStr">
        <is>
          <t>Matches</t>
        </is>
      </c>
      <c r="E70" s="11" t="inlineStr">
        <is>
          <t>js/admin-suppliers.js:255</t>
        </is>
      </c>
      <c r="F70" s="11" t="inlineStr">
        <is>
          <t>-</t>
        </is>
      </c>
      <c r="G70" s="11" t="inlineStr">
        <is>
          <t>None</t>
        </is>
      </c>
      <c r="H70" s="11" t="inlineStr"/>
      <c r="I70" s="11" t="inlineStr">
        <is>
          <t>Low</t>
        </is>
      </c>
      <c r="J70" s="11" t="inlineStr">
        <is>
          <t>-</t>
        </is>
      </c>
      <c r="K70" s="11" t="inlineStr">
        <is>
          <t>p.55</t>
        </is>
      </c>
    </row>
    <row r="71">
      <c r="A71" s="11" t="inlineStr">
        <is>
          <t>REQ070</t>
        </is>
      </c>
      <c r="B71" s="11" t="inlineStr">
        <is>
          <t>Product Management</t>
        </is>
      </c>
      <c r="C71" s="11" t="inlineStr">
        <is>
          <t>Add, rename, remove categories</t>
        </is>
      </c>
      <c r="D71" s="13" t="inlineStr">
        <is>
          <t>Matches</t>
        </is>
      </c>
      <c r="E71" s="11" t="inlineStr">
        <is>
          <t>js/admin-products.js:713</t>
        </is>
      </c>
      <c r="F71" s="11" t="inlineStr">
        <is>
          <t>Fixed: rename uses the app dialog; delete can move products. (was: Rename uses the browser's native prompt(), the only native dialog left.)</t>
        </is>
      </c>
      <c r="G71" s="11" t="inlineStr">
        <is>
          <t>None</t>
        </is>
      </c>
      <c r="H71" s="11" t="inlineStr">
        <is>
          <t>Small.</t>
        </is>
      </c>
      <c r="I71" s="11" t="inlineStr">
        <is>
          <t>Low</t>
        </is>
      </c>
      <c r="J71" s="11" t="inlineStr">
        <is>
          <t>S</t>
        </is>
      </c>
      <c r="K71" s="11" t="inlineStr">
        <is>
          <t>p.55</t>
        </is>
      </c>
    </row>
    <row r="72">
      <c r="A72" s="11" t="inlineStr">
        <is>
          <t>REQ071</t>
        </is>
      </c>
      <c r="B72" s="11" t="inlineStr">
        <is>
          <t>Price Management</t>
        </is>
      </c>
      <c r="C72" s="11" t="inlineStr">
        <is>
          <t>Price changes restricted to Branch Manager</t>
        </is>
      </c>
      <c r="D72" s="13" t="inlineStr">
        <is>
          <t>Matches</t>
        </is>
      </c>
      <c r="E72" s="11" t="inlineStr">
        <is>
          <t>js/admin-products.js:69; js/admin-roles.js:17; firestore.rules:55</t>
        </is>
      </c>
      <c r="F72" s="11" t="inlineStr">
        <is>
          <t>Fixed: BM-only prices everywhere, enforced in database rules (publish rules). (was: Only editing an existing product is locked. Any staff (incl. Sales Staff) can set prices when creating or batch-importing a product, and the database rules let any staff write prices.)</t>
        </is>
      </c>
      <c r="G72" s="11" t="inlineStr">
        <is>
          <t>None</t>
        </is>
      </c>
      <c r="H72" s="11" t="inlineStr">
        <is>
          <t>Client's core ask ('one person lock', Interviews 1-2).</t>
        </is>
      </c>
      <c r="I72" s="11" t="inlineStr">
        <is>
          <t>High</t>
        </is>
      </c>
      <c r="J72" s="11" t="inlineStr">
        <is>
          <t>S</t>
        </is>
      </c>
      <c r="K72" s="11" t="inlineStr">
        <is>
          <t>p.55; Interviews 1-2</t>
        </is>
      </c>
    </row>
    <row r="73">
      <c r="A73" s="11" t="inlineStr">
        <is>
          <t>REQ072</t>
        </is>
      </c>
      <c r="B73" s="11" t="inlineStr">
        <is>
          <t>Price Management</t>
        </is>
      </c>
      <c r="C73" s="11" t="inlineStr">
        <is>
          <t>Confirm price change before saving</t>
        </is>
      </c>
      <c r="D73" s="13" t="inlineStr">
        <is>
          <t>Matches</t>
        </is>
      </c>
      <c r="E73" s="11" t="inlineStr">
        <is>
          <t>js/admin-products.js:347</t>
        </is>
      </c>
      <c r="F73" s="11" t="inlineStr">
        <is>
          <t>Confirm step now also asks for a reason. (was: -)</t>
        </is>
      </c>
      <c r="G73" s="11" t="inlineStr">
        <is>
          <t>None</t>
        </is>
      </c>
      <c r="H73" s="11" t="inlineStr"/>
      <c r="I73" s="11" t="inlineStr">
        <is>
          <t>Low</t>
        </is>
      </c>
      <c r="J73" s="11" t="inlineStr">
        <is>
          <t>-</t>
        </is>
      </c>
      <c r="K73" s="11" t="inlineStr">
        <is>
          <t>p.55</t>
        </is>
      </c>
    </row>
    <row r="74">
      <c r="A74" s="11" t="inlineStr">
        <is>
          <t>REQ073</t>
        </is>
      </c>
      <c r="B74" s="11" t="inlineStr">
        <is>
          <t>Price Management</t>
        </is>
      </c>
      <c r="C74" s="11" t="inlineStr">
        <is>
          <t>Audit log: previous price, new price, timestamp</t>
        </is>
      </c>
      <c r="D74" s="14" t="inlineStr">
        <is>
          <t>Partial</t>
        </is>
      </c>
      <c r="E74" s="11" t="inlineStr">
        <is>
          <t>js/admin-products.js:347</t>
        </is>
      </c>
      <c r="F74" s="11" t="inlineStr">
        <is>
          <t>System now logs the reason too; paper REQ073 wording should add 'reason'. (was: Matches the paper, but the client asked for a reason with each change (Interview 2) and none is captured.)</t>
        </is>
      </c>
      <c r="G74" s="11" t="inlineStr">
        <is>
          <t>System + paper</t>
        </is>
      </c>
      <c r="H74" s="11" t="inlineStr">
        <is>
          <t>Add a reason field and add 'reason' to REQ073.</t>
        </is>
      </c>
      <c r="I74" s="11" t="inlineStr">
        <is>
          <t>Med</t>
        </is>
      </c>
      <c r="J74" s="11" t="inlineStr">
        <is>
          <t>S</t>
        </is>
      </c>
      <c r="K74" s="11" t="inlineStr">
        <is>
          <t>p.55; Interview 2</t>
        </is>
      </c>
    </row>
    <row r="75">
      <c r="A75" s="11" t="inlineStr">
        <is>
          <t>REQ074</t>
        </is>
      </c>
      <c r="B75" s="11" t="inlineStr">
        <is>
          <t>Order Processing</t>
        </is>
      </c>
      <c r="C75" s="11" t="inlineStr">
        <is>
          <t>Searchable, filterable order queue</t>
        </is>
      </c>
      <c r="D75" s="13" t="inlineStr">
        <is>
          <t>Matches</t>
        </is>
      </c>
      <c r="E75" s="11" t="inlineStr">
        <is>
          <t>js/admin-online-orders.js</t>
        </is>
      </c>
      <c r="F75" s="11" t="inlineStr">
        <is>
          <t>-</t>
        </is>
      </c>
      <c r="G75" s="11" t="inlineStr">
        <is>
          <t>None</t>
        </is>
      </c>
      <c r="H75" s="11" t="inlineStr"/>
      <c r="I75" s="11" t="inlineStr">
        <is>
          <t>Low</t>
        </is>
      </c>
      <c r="J75" s="11" t="inlineStr">
        <is>
          <t>-</t>
        </is>
      </c>
      <c r="K75" s="11" t="inlineStr">
        <is>
          <t>p.55</t>
        </is>
      </c>
    </row>
    <row r="76">
      <c r="A76" s="11" t="inlineStr">
        <is>
          <t>REQ075</t>
        </is>
      </c>
      <c r="B76" s="11" t="inlineStr">
        <is>
          <t>Order Processing</t>
        </is>
      </c>
      <c r="C76" s="11" t="inlineStr">
        <is>
          <t>Confirm, update, or hold orders</t>
        </is>
      </c>
      <c r="D76" s="13" t="inlineStr">
        <is>
          <t>Matches</t>
        </is>
      </c>
      <c r="E76" s="11" t="inlineStr">
        <is>
          <t>js/admin-online-orders.js:891</t>
        </is>
      </c>
      <c r="F76" s="11" t="inlineStr">
        <is>
          <t>-</t>
        </is>
      </c>
      <c r="G76" s="11" t="inlineStr">
        <is>
          <t>None</t>
        </is>
      </c>
      <c r="H76" s="11" t="inlineStr"/>
      <c r="I76" s="11" t="inlineStr">
        <is>
          <t>Low</t>
        </is>
      </c>
      <c r="J76" s="11" t="inlineStr">
        <is>
          <t>-</t>
        </is>
      </c>
      <c r="K76" s="11" t="inlineStr">
        <is>
          <t>p.55</t>
        </is>
      </c>
    </row>
    <row r="77">
      <c r="A77" s="11" t="inlineStr">
        <is>
          <t>REQ076</t>
        </is>
      </c>
      <c r="B77" s="11" t="inlineStr">
        <is>
          <t>Order Processing</t>
        </is>
      </c>
      <c r="C77" s="11" t="inlineStr">
        <is>
          <t>FEFO deduction on confirmation</t>
        </is>
      </c>
      <c r="D77" s="13" t="inlineStr">
        <is>
          <t>Matches</t>
        </is>
      </c>
      <c r="E77" s="11" t="inlineStr">
        <is>
          <t>js/admin-online-orders.js:392</t>
        </is>
      </c>
      <c r="F77" s="11" t="inlineStr">
        <is>
          <t>-</t>
        </is>
      </c>
      <c r="G77" s="11" t="inlineStr">
        <is>
          <t>None</t>
        </is>
      </c>
      <c r="H77" s="11" t="inlineStr"/>
      <c r="I77" s="11" t="inlineStr">
        <is>
          <t>Low</t>
        </is>
      </c>
      <c r="J77" s="11" t="inlineStr">
        <is>
          <t>-</t>
        </is>
      </c>
      <c r="K77" s="11" t="inlineStr">
        <is>
          <t>p.55</t>
        </is>
      </c>
    </row>
    <row r="78">
      <c r="A78" s="11" t="inlineStr">
        <is>
          <t>REQ077</t>
        </is>
      </c>
      <c r="B78" s="11" t="inlineStr">
        <is>
          <t>RX Verification</t>
        </is>
      </c>
      <c r="C78" s="11" t="inlineStr">
        <is>
          <t>Dedicated RX pre-order queue with prescription + payment proof</t>
        </is>
      </c>
      <c r="D78" s="13" t="inlineStr">
        <is>
          <t>Matches</t>
        </is>
      </c>
      <c r="E78" s="11" t="inlineStr">
        <is>
          <t>js/admin-online-orders.js:257</t>
        </is>
      </c>
      <c r="F78" s="11" t="inlineStr">
        <is>
          <t>082ec92: RX filter + RX badge in the verification queue, prescription and payment shown together. (was: RX orders appear in the general Payment Verification queue with the photo shown; no dedicated queue or filter.)</t>
        </is>
      </c>
      <c r="G78" s="11" t="inlineStr">
        <is>
          <t>None</t>
        </is>
      </c>
      <c r="H78" s="11" t="inlineStr">
        <is>
          <t>Could be a filter/tab rather than a new page.</t>
        </is>
      </c>
      <c r="I78" s="11" t="inlineStr">
        <is>
          <t>Med</t>
        </is>
      </c>
      <c r="J78" s="11" t="inlineStr">
        <is>
          <t>M</t>
        </is>
      </c>
      <c r="K78" s="11" t="inlineStr">
        <is>
          <t>p.55</t>
        </is>
      </c>
    </row>
    <row r="79">
      <c r="A79" s="11" t="inlineStr">
        <is>
          <t>REQ078</t>
        </is>
      </c>
      <c r="B79" s="11" t="inlineStr">
        <is>
          <t>RX Verification</t>
        </is>
      </c>
      <c r="C79" s="11" t="inlineStr">
        <is>
          <t>Approve after checking prescription: FEFO reservation, Ready for Pick-up, notify</t>
        </is>
      </c>
      <c r="D79" s="13" t="inlineStr">
        <is>
          <t>Matches</t>
        </is>
      </c>
      <c r="E79" s="11" t="inlineStr">
        <is>
          <t>js/admin-online-orders.js:392</t>
        </is>
      </c>
      <c r="F79" s="11" t="inlineStr">
        <is>
          <t>082ec92: approval reserves stock (FEFO), sets Ready for Pick-up and notifies 'ready for pick-up'. (was: Approving payment moves RX orders straight to Ready for Pick-up, but the notification says 'Payment confirmed', not 'Ready for pick-up'.)</t>
        </is>
      </c>
      <c r="G79" s="11" t="inlineStr">
        <is>
          <t>None</t>
        </is>
      </c>
      <c r="H79" s="11" t="inlineStr">
        <is>
          <t>Part of the RX verification fix.</t>
        </is>
      </c>
      <c r="I79" s="11" t="inlineStr">
        <is>
          <t>Med</t>
        </is>
      </c>
      <c r="J79" s="11" t="inlineStr">
        <is>
          <t>S</t>
        </is>
      </c>
      <c r="K79" s="11" t="inlineStr">
        <is>
          <t>p.55</t>
        </is>
      </c>
    </row>
    <row r="80">
      <c r="A80" s="11" t="inlineStr">
        <is>
          <t>REQ079</t>
        </is>
      </c>
      <c r="B80" s="11" t="inlineStr">
        <is>
          <t>RX Verification</t>
        </is>
      </c>
      <c r="C80" s="11" t="inlineStr">
        <is>
          <t>Mandatory reason to reject; reason in customer notification</t>
        </is>
      </c>
      <c r="D80" s="13" t="inlineStr">
        <is>
          <t>Matches</t>
        </is>
      </c>
      <c r="E80" s="11" t="inlineStr">
        <is>
          <t>-</t>
        </is>
      </c>
      <c r="F80" s="11" t="inlineStr">
        <is>
          <t>082ec92: Reject Prescription with required reason + message; customer can re-upload within 7 days. (was: No reject action exists for prescriptions.)</t>
        </is>
      </c>
      <c r="G80" s="11" t="inlineStr">
        <is>
          <t>None</t>
        </is>
      </c>
      <c r="H80" s="11" t="inlineStr">
        <is>
          <t>Part of the RX verification fix.</t>
        </is>
      </c>
      <c r="I80" s="11" t="inlineStr">
        <is>
          <t>High</t>
        </is>
      </c>
      <c r="J80" s="11" t="inlineStr">
        <is>
          <t>M</t>
        </is>
      </c>
      <c r="K80" s="11" t="inlineStr">
        <is>
          <t>p.56</t>
        </is>
      </c>
    </row>
    <row r="81">
      <c r="A81" s="11" t="inlineStr">
        <is>
          <t>REQ080</t>
        </is>
      </c>
      <c r="B81" s="11" t="inlineStr">
        <is>
          <t>RX Verification</t>
        </is>
      </c>
      <c r="C81" s="11" t="inlineStr">
        <is>
          <t>RX never assignable to delivery</t>
        </is>
      </c>
      <c r="D81" s="13" t="inlineStr">
        <is>
          <t>Matches</t>
        </is>
      </c>
      <c r="E81" s="11" t="inlineStr">
        <is>
          <t>js/checkout.js:63</t>
        </is>
      </c>
      <c r="F81" s="11" t="inlineStr">
        <is>
          <t>-</t>
        </is>
      </c>
      <c r="G81" s="11" t="inlineStr">
        <is>
          <t>None</t>
        </is>
      </c>
      <c r="H81" s="11" t="inlineStr"/>
      <c r="I81" s="11" t="inlineStr">
        <is>
          <t>Low</t>
        </is>
      </c>
      <c r="J81" s="11" t="inlineStr">
        <is>
          <t>-</t>
        </is>
      </c>
      <c r="K81" s="11" t="inlineStr">
        <is>
          <t>p.56</t>
        </is>
      </c>
    </row>
    <row r="82">
      <c r="A82" s="11" t="inlineStr">
        <is>
          <t>REQ081</t>
        </is>
      </c>
      <c r="B82" s="11" t="inlineStr">
        <is>
          <t>RX Verification</t>
        </is>
      </c>
      <c r="C82" s="11" t="inlineStr">
        <is>
          <t>Record staff, timestamp, action per verification</t>
        </is>
      </c>
      <c r="D82" s="13" t="inlineStr">
        <is>
          <t>Matches</t>
        </is>
      </c>
      <c r="E82" s="11" t="inlineStr">
        <is>
          <t>-</t>
        </is>
      </c>
      <c r="F82" s="11" t="inlineStr">
        <is>
          <t>082ec92: every approval/hold/rejection stores who, when and what (verification field) + audit entry for RX. (was: Who approved is not stored.)</t>
        </is>
      </c>
      <c r="G82" s="11" t="inlineStr">
        <is>
          <t>None</t>
        </is>
      </c>
      <c r="H82" s="11" t="inlineStr">
        <is>
          <t>Small.</t>
        </is>
      </c>
      <c r="I82" s="11" t="inlineStr">
        <is>
          <t>Med</t>
        </is>
      </c>
      <c r="J82" s="11" t="inlineStr">
        <is>
          <t>S</t>
        </is>
      </c>
      <c r="K82" s="11" t="inlineStr">
        <is>
          <t>p.56</t>
        </is>
      </c>
    </row>
    <row r="83">
      <c r="A83" s="11" t="inlineStr">
        <is>
          <t>REQ082</t>
        </is>
      </c>
      <c r="B83" s="11" t="inlineStr">
        <is>
          <t>Walk-in Orders</t>
        </is>
      </c>
      <c r="C83" s="11" t="inlineStr">
        <is>
          <t>Technical + Sales Staff process walk-in sales (OTC + RX)</t>
        </is>
      </c>
      <c r="D83" s="13" t="inlineStr">
        <is>
          <t>Matches</t>
        </is>
      </c>
      <c r="E83" s="11" t="inlineStr">
        <is>
          <t>js/admin-pos.js:187</t>
        </is>
      </c>
      <c r="F83" s="11" t="inlineStr">
        <is>
          <t>-</t>
        </is>
      </c>
      <c r="G83" s="11" t="inlineStr">
        <is>
          <t>None</t>
        </is>
      </c>
      <c r="H83" s="11" t="inlineStr"/>
      <c r="I83" s="11" t="inlineStr">
        <is>
          <t>Low</t>
        </is>
      </c>
      <c r="J83" s="11" t="inlineStr">
        <is>
          <t>-</t>
        </is>
      </c>
      <c r="K83" s="11" t="inlineStr">
        <is>
          <t>p.56</t>
        </is>
      </c>
    </row>
    <row r="84">
      <c r="A84" s="11" t="inlineStr">
        <is>
          <t>REQ083</t>
        </is>
      </c>
      <c r="B84" s="11" t="inlineStr">
        <is>
          <t>Walk-in Orders</t>
        </is>
      </c>
      <c r="C84" s="11" t="inlineStr">
        <is>
          <t>Void with reason, restore stock, audit log, record exchange + price difference</t>
        </is>
      </c>
      <c r="D84" s="14" t="inlineStr">
        <is>
          <t>Partial</t>
        </is>
      </c>
      <c r="E84" s="11" t="inlineStr">
        <is>
          <t>-</t>
        </is>
      </c>
      <c r="F84" s="11" t="inlineStr">
        <is>
          <t>57f4d80: void for completed walk-in sales by BM/Technical (Admin too): reason, original SI No., stock back to the exact batches, optional exchange note + price difference, audit entry. Not yet: second-person approval; exchange item is a note, not a stock movement. (was: No void function at all.)</t>
        </is>
      </c>
      <c r="G84" s="11" t="inlineStr">
        <is>
          <t>System + paper</t>
        </is>
      </c>
      <c r="H84" s="11" t="inlineStr">
        <is>
          <t>Client's #1 stated pain point (Interview 4), plus a use case in Fig 2.6. Paper wording is self-contradictory on timing - see C4.</t>
        </is>
      </c>
      <c r="I84" s="11" t="inlineStr">
        <is>
          <t>High</t>
        </is>
      </c>
      <c r="J84" s="11" t="inlineStr">
        <is>
          <t>M</t>
        </is>
      </c>
      <c r="K84" s="11" t="inlineStr">
        <is>
          <t>p.56; Fig 2.6; Fig 2.14; Interview 4</t>
        </is>
      </c>
    </row>
    <row r="85">
      <c r="A85" s="11" t="inlineStr">
        <is>
          <t>REQ084</t>
        </is>
      </c>
      <c r="B85" s="11" t="inlineStr">
        <is>
          <t>Walk-in Orders</t>
        </is>
      </c>
      <c r="C85" s="11" t="inlineStr">
        <is>
          <t>RX Verified checkbox + optional notes, no upload</t>
        </is>
      </c>
      <c r="D85" s="13" t="inlineStr">
        <is>
          <t>Matches</t>
        </is>
      </c>
      <c r="E85" s="11" t="inlineStr">
        <is>
          <t>admin/pos.html</t>
        </is>
      </c>
      <c r="F85" s="11" t="inlineStr">
        <is>
          <t>57f4d80: RX Verified checkbox + optional notes in POS, required when the cart has RX items. (was: Not in POS.)</t>
        </is>
      </c>
      <c r="G85" s="11" t="inlineStr">
        <is>
          <t>None</t>
        </is>
      </c>
      <c r="H85" s="11" t="inlineStr">
        <is>
          <t>Small.</t>
        </is>
      </c>
      <c r="I85" s="11" t="inlineStr">
        <is>
          <t>Med</t>
        </is>
      </c>
      <c r="J85" s="11" t="inlineStr">
        <is>
          <t>S</t>
        </is>
      </c>
      <c r="K85" s="11" t="inlineStr">
        <is>
          <t>p.56; Fig 2.14</t>
        </is>
      </c>
    </row>
    <row r="86">
      <c r="A86" s="11" t="inlineStr">
        <is>
          <t>REQ085</t>
        </is>
      </c>
      <c r="B86" s="11" t="inlineStr">
        <is>
          <t>Wholesale</t>
        </is>
      </c>
      <c r="C86" s="11" t="inlineStr">
        <is>
          <t>Wholesale accounts with contact, business type, agreed pricing</t>
        </is>
      </c>
      <c r="D86" s="14" t="inlineStr">
        <is>
          <t>Partial</t>
        </is>
      </c>
      <c r="E86" s="11" t="inlineStr">
        <is>
          <t>js/admin-wholesale-accounts.js:270</t>
        </is>
      </c>
      <c r="F86" s="11" t="inlineStr">
        <is>
          <t>No per-account agreed pricing; price comes from the product's wholesale price and can be edited per order.</t>
        </is>
      </c>
      <c r="G86" s="11" t="inlineStr">
        <is>
          <t>Change paper</t>
        </is>
      </c>
      <c r="H86" s="11" t="inlineStr">
        <is>
          <t>Matches how client described 'special price for wholesalers'; reword REQ085/087.</t>
        </is>
      </c>
      <c r="I86" s="11" t="inlineStr">
        <is>
          <t>Low</t>
        </is>
      </c>
      <c r="J86" s="11" t="inlineStr">
        <is>
          <t>-</t>
        </is>
      </c>
      <c r="K86" s="11" t="inlineStr">
        <is>
          <t>p.57; Interview 2</t>
        </is>
      </c>
    </row>
    <row r="87">
      <c r="A87" s="11" t="inlineStr">
        <is>
          <t>REQ086</t>
        </is>
      </c>
      <c r="B87" s="11" t="inlineStr">
        <is>
          <t>Wholesale</t>
        </is>
      </c>
      <c r="C87" s="11" t="inlineStr">
        <is>
          <t>Upload/update LTO and Business Permit</t>
        </is>
      </c>
      <c r="D87" s="13" t="inlineStr">
        <is>
          <t>Matches</t>
        </is>
      </c>
      <c r="E87" s="11" t="inlineStr">
        <is>
          <t>js/admin-wholesale-accounts.js:270</t>
        </is>
      </c>
      <c r="F87" s="11" t="inlineStr">
        <is>
          <t>5cad255: LTO and Business Permit valid-until dates; cards flag expired/expiring; orders blocked while expired. (was: Upload works; no document expiry date or 'expired' flag (shown in Interview 4 walkthrough and Activity 2.13).)</t>
        </is>
      </c>
      <c r="G87" s="11" t="inlineStr">
        <is>
          <t>None</t>
        </is>
      </c>
      <c r="H87" s="11" t="inlineStr">
        <is>
          <t>Small: add expiry dates + badge.</t>
        </is>
      </c>
      <c r="I87" s="11" t="inlineStr">
        <is>
          <t>Low</t>
        </is>
      </c>
      <c r="J87" s="11" t="inlineStr">
        <is>
          <t>S</t>
        </is>
      </c>
      <c r="K87" s="11" t="inlineStr">
        <is>
          <t>p.57; Fig 2.13; Interview 4</t>
        </is>
      </c>
    </row>
    <row r="88">
      <c r="A88" s="11" t="inlineStr">
        <is>
          <t>REQ087</t>
        </is>
      </c>
      <c r="B88" s="11" t="inlineStr">
        <is>
          <t>Wholesale</t>
        </is>
      </c>
      <c r="C88" s="11" t="inlineStr">
        <is>
          <t>Record wholesale POs linked to account with wholesale pricing</t>
        </is>
      </c>
      <c r="D88" s="13" t="inlineStr">
        <is>
          <t>Matches</t>
        </is>
      </c>
      <c r="E88" s="11" t="inlineStr">
        <is>
          <t>js/admin-wholesale-accounts.js:473</t>
        </is>
      </c>
      <c r="F88" s="11" t="inlineStr">
        <is>
          <t>-</t>
        </is>
      </c>
      <c r="G88" s="11" t="inlineStr">
        <is>
          <t>None</t>
        </is>
      </c>
      <c r="H88" s="11" t="inlineStr"/>
      <c r="I88" s="11" t="inlineStr">
        <is>
          <t>Low</t>
        </is>
      </c>
      <c r="J88" s="11" t="inlineStr">
        <is>
          <t>-</t>
        </is>
      </c>
      <c r="K88" s="11" t="inlineStr">
        <is>
          <t>p.57</t>
        </is>
      </c>
    </row>
    <row r="89">
      <c r="A89" s="11" t="inlineStr">
        <is>
          <t>REQ088</t>
        </is>
      </c>
      <c r="B89" s="11" t="inlineStr">
        <is>
          <t>Wholesale</t>
        </is>
      </c>
      <c r="C89" s="11" t="inlineStr">
        <is>
          <t>Wholesale prices admin-only; not shown on retail site</t>
        </is>
      </c>
      <c r="D89" s="14" t="inlineStr">
        <is>
          <t>Partial</t>
        </is>
      </c>
      <c r="E89" s="11" t="inlineStr">
        <is>
          <t>firestore.rules:55</t>
        </is>
      </c>
      <c r="F89" s="11" t="inlineStr">
        <is>
          <t>Not displayed, but costing/wholesale prices sit in the public products collection and can be read by anyone.</t>
        </is>
      </c>
      <c r="G89" s="11" t="inlineStr">
        <is>
          <t>Decision needed</t>
        </is>
      </c>
      <c r="H89" s="11" t="inlineStr">
        <is>
          <t>Moving price fields to a staff-only collection is moderate work.</t>
        </is>
      </c>
      <c r="I89" s="11" t="inlineStr">
        <is>
          <t>Low</t>
        </is>
      </c>
      <c r="J89" s="11" t="inlineStr">
        <is>
          <t>M</t>
        </is>
      </c>
      <c r="K89" s="11" t="inlineStr">
        <is>
          <t>p.57</t>
        </is>
      </c>
    </row>
    <row r="90">
      <c r="A90" s="11" t="inlineStr">
        <is>
          <t>REQ089</t>
        </is>
      </c>
      <c r="B90" s="11" t="inlineStr">
        <is>
          <t>Wholesale</t>
        </is>
      </c>
      <c r="C90" s="11" t="inlineStr">
        <is>
          <t>Purchase history per wholesale account</t>
        </is>
      </c>
      <c r="D90" s="13" t="inlineStr">
        <is>
          <t>Matches</t>
        </is>
      </c>
      <c r="E90" s="11" t="inlineStr">
        <is>
          <t>-</t>
        </is>
      </c>
      <c r="F90" s="11" t="inlineStr">
        <is>
          <t>5cad255: Purchase History per wholesale account, with invoice download. (was: Orders are saved (wholesaleOrders) but there is no history view.)</t>
        </is>
      </c>
      <c r="G90" s="11" t="inlineStr">
        <is>
          <t>None</t>
        </is>
      </c>
      <c r="H90" s="11" t="inlineStr">
        <is>
          <t>Client asked for a 'customer file' (Interview 2, 4).</t>
        </is>
      </c>
      <c r="I90" s="11" t="inlineStr">
        <is>
          <t>Med</t>
        </is>
      </c>
      <c r="J90" s="11" t="inlineStr">
        <is>
          <t>S</t>
        </is>
      </c>
      <c r="K90" s="11" t="inlineStr">
        <is>
          <t>p.57; Interview 2</t>
        </is>
      </c>
    </row>
    <row r="91">
      <c r="A91" s="11" t="inlineStr">
        <is>
          <t>REQ090</t>
        </is>
      </c>
      <c r="B91" s="11" t="inlineStr">
        <is>
          <t>Wholesale</t>
        </is>
      </c>
      <c r="C91" s="11" t="inlineStr">
        <is>
          <t>Wholesale item exchanges with FEFO + audit log</t>
        </is>
      </c>
      <c r="D91" s="15" t="inlineStr">
        <is>
          <t>Missing</t>
        </is>
      </c>
      <c r="E91" s="11" t="inlineStr">
        <is>
          <t>-</t>
        </is>
      </c>
      <c r="F91" s="11" t="inlineStr">
        <is>
          <t>Not built.</t>
        </is>
      </c>
      <c r="G91" s="11" t="inlineStr">
        <is>
          <t>Change system</t>
        </is>
      </c>
      <c r="H91" s="11" t="inlineStr">
        <is>
          <t>Has its own activity diagram (Fig 2.15) and report (REQ114).</t>
        </is>
      </c>
      <c r="I91" s="11" t="inlineStr">
        <is>
          <t>Med</t>
        </is>
      </c>
      <c r="J91" s="11" t="inlineStr">
        <is>
          <t>M</t>
        </is>
      </c>
      <c r="K91" s="11" t="inlineStr">
        <is>
          <t>p.57; Fig 2.15</t>
        </is>
      </c>
    </row>
    <row r="92">
      <c r="A92" s="11" t="inlineStr">
        <is>
          <t>REQ091</t>
        </is>
      </c>
      <c r="B92" s="11" t="inlineStr">
        <is>
          <t>Wholesale</t>
        </is>
      </c>
      <c r="C92" s="11" t="inlineStr">
        <is>
          <t>Free-of-cost near-expiry distributions, zero cost, reason in audit log</t>
        </is>
      </c>
      <c r="D92" s="13" t="inlineStr">
        <is>
          <t>Matches</t>
        </is>
      </c>
      <c r="E92" s="11" t="inlineStr">
        <is>
          <t>js/admin-wholesale-accounts.js:380</t>
        </is>
      </c>
      <c r="F92" s="11" t="inlineStr">
        <is>
          <t>5cad255: free-of-cost option (prices 0), required reason, own audit entry, noted on the invoice. (was: A unit price of 0 is possible, but there is no free-of-cost option, reason, or dedicated audit entry.)</t>
        </is>
      </c>
      <c r="G92" s="11" t="inlineStr">
        <is>
          <t>None</t>
        </is>
      </c>
      <c r="H92" s="11" t="inlineStr">
        <is>
          <t>Small.</t>
        </is>
      </c>
      <c r="I92" s="11" t="inlineStr">
        <is>
          <t>Med</t>
        </is>
      </c>
      <c r="J92" s="11" t="inlineStr">
        <is>
          <t>S</t>
        </is>
      </c>
      <c r="K92" s="11" t="inlineStr">
        <is>
          <t>p.57; Interview 2</t>
        </is>
      </c>
    </row>
    <row r="93">
      <c r="A93" s="11" t="inlineStr">
        <is>
          <t>REQ092</t>
        </is>
      </c>
      <c r="B93" s="11" t="inlineStr">
        <is>
          <t>Transaction Records</t>
        </is>
      </c>
      <c r="C93" s="11" t="inlineStr">
        <is>
          <t>Retail/walk-in receipt; wholesale sales invoice with buyer details</t>
        </is>
      </c>
      <c r="D93" s="13" t="inlineStr">
        <is>
          <t>Matches</t>
        </is>
      </c>
      <c r="E93" s="11" t="inlineStr">
        <is>
          <t>js/products-data.js:478</t>
        </is>
      </c>
      <c r="F93" s="11" t="inlineStr">
        <is>
          <t>5cad255: wholesale sales invoice PDF with buyer details, batch and expiry per line; walk-in/online receipts carry SI No. (was: Walk-in and online receipts exist; no wholesale sales invoice. Receipts show no batch numbers or expiry dates, which the Project Context (p.1) names as the old POS's main gap.)</t>
        </is>
      </c>
      <c r="G93" s="11" t="inlineStr">
        <is>
          <t>None</t>
        </is>
      </c>
      <c r="H93" s="11" t="inlineStr">
        <is>
          <t>jsPDF already used.</t>
        </is>
      </c>
      <c r="I93" s="11" t="inlineStr">
        <is>
          <t>Med</t>
        </is>
      </c>
      <c r="J93" s="11" t="inlineStr">
        <is>
          <t>S</t>
        </is>
      </c>
      <c r="K93" s="11" t="inlineStr">
        <is>
          <t>p.58; p.1</t>
        </is>
      </c>
    </row>
    <row r="94">
      <c r="A94" s="11" t="inlineStr">
        <is>
          <t>REQ093</t>
        </is>
      </c>
      <c r="B94" s="11" t="inlineStr">
        <is>
          <t>Transaction Records</t>
        </is>
      </c>
      <c r="C94" s="11" t="inlineStr">
        <is>
          <t>Receipt on payment verification, downloadable in My Orders</t>
        </is>
      </c>
      <c r="D94" s="13" t="inlineStr">
        <is>
          <t>Matches</t>
        </is>
      </c>
      <c r="E94" s="11" t="inlineStr">
        <is>
          <t>js/orders.js:247</t>
        </is>
      </c>
      <c r="F94" s="11" t="inlineStr">
        <is>
          <t>082ec92: receipt only downloadable once payment is verified (SI No. assigned). (was: Available before verification too.)</t>
        </is>
      </c>
      <c r="G94" s="11" t="inlineStr">
        <is>
          <t>None</t>
        </is>
      </c>
      <c r="H94" s="11" t="inlineStr">
        <is>
          <t>Same fix as REQ033.</t>
        </is>
      </c>
      <c r="I94" s="11" t="inlineStr">
        <is>
          <t>Low</t>
        </is>
      </c>
      <c r="J94" s="11" t="inlineStr">
        <is>
          <t>S</t>
        </is>
      </c>
      <c r="K94" s="11" t="inlineStr">
        <is>
          <t>p.58</t>
        </is>
      </c>
    </row>
    <row r="95">
      <c r="A95" s="11" t="inlineStr">
        <is>
          <t>REQ094</t>
        </is>
      </c>
      <c r="B95" s="11" t="inlineStr">
        <is>
          <t>Payment Verification</t>
        </is>
      </c>
      <c r="C95" s="11" t="inlineStr">
        <is>
          <t>Verification queue of orders with proof</t>
        </is>
      </c>
      <c r="D95" s="13" t="inlineStr">
        <is>
          <t>Matches</t>
        </is>
      </c>
      <c r="E95" s="11" t="inlineStr">
        <is>
          <t>js/admin-online-orders.js:257</t>
        </is>
      </c>
      <c r="F95" s="11" t="inlineStr">
        <is>
          <t>-</t>
        </is>
      </c>
      <c r="G95" s="11" t="inlineStr">
        <is>
          <t>None</t>
        </is>
      </c>
      <c r="H95" s="11" t="inlineStr"/>
      <c r="I95" s="11" t="inlineStr">
        <is>
          <t>Low</t>
        </is>
      </c>
      <c r="J95" s="11" t="inlineStr">
        <is>
          <t>-</t>
        </is>
      </c>
      <c r="K95" s="11" t="inlineStr">
        <is>
          <t>p.58</t>
        </is>
      </c>
    </row>
    <row r="96">
      <c r="A96" s="11" t="inlineStr">
        <is>
          <t>REQ095</t>
        </is>
      </c>
      <c r="B96" s="11" t="inlineStr">
        <is>
          <t>Payment Verification</t>
        </is>
      </c>
      <c r="C96" s="11" t="inlineStr">
        <is>
          <t>Confirm, or hold with issue type</t>
        </is>
      </c>
      <c r="D96" s="13" t="inlineStr">
        <is>
          <t>Matches</t>
        </is>
      </c>
      <c r="E96" s="11" t="inlineStr">
        <is>
          <t>js/admin-online-orders.js:561</t>
        </is>
      </c>
      <c r="F96" s="11" t="inlineStr">
        <is>
          <t>-</t>
        </is>
      </c>
      <c r="G96" s="11" t="inlineStr">
        <is>
          <t>None</t>
        </is>
      </c>
      <c r="H96" s="11" t="inlineStr"/>
      <c r="I96" s="11" t="inlineStr">
        <is>
          <t>Low</t>
        </is>
      </c>
      <c r="J96" s="11" t="inlineStr">
        <is>
          <t>-</t>
        </is>
      </c>
      <c r="K96" s="11" t="inlineStr">
        <is>
          <t>p.58</t>
        </is>
      </c>
    </row>
    <row r="97">
      <c r="A97" s="11" t="inlineStr">
        <is>
          <t>REQ096</t>
        </is>
      </c>
      <c r="B97" s="11" t="inlineStr">
        <is>
          <t>Payment Verification</t>
        </is>
      </c>
      <c r="C97" s="11" t="inlineStr">
        <is>
          <t>On Hold - Invalid Screenshot + notify re-upload</t>
        </is>
      </c>
      <c r="D97" s="13" t="inlineStr">
        <is>
          <t>Matches</t>
        </is>
      </c>
      <c r="E97" s="11" t="inlineStr">
        <is>
          <t>js/admin-online-orders.js:561</t>
        </is>
      </c>
      <c r="F97" s="11" t="inlineStr">
        <is>
          <t>-</t>
        </is>
      </c>
      <c r="G97" s="11" t="inlineStr">
        <is>
          <t>None</t>
        </is>
      </c>
      <c r="H97" s="11" t="inlineStr"/>
      <c r="I97" s="11" t="inlineStr">
        <is>
          <t>Low</t>
        </is>
      </c>
      <c r="J97" s="11" t="inlineStr">
        <is>
          <t>-</t>
        </is>
      </c>
      <c r="K97" s="11" t="inlineStr">
        <is>
          <t>p.58</t>
        </is>
      </c>
    </row>
    <row r="98">
      <c r="A98" s="11" t="inlineStr">
        <is>
          <t>REQ097</t>
        </is>
      </c>
      <c r="B98" s="11" t="inlineStr">
        <is>
          <t>Payment Verification</t>
        </is>
      </c>
      <c r="C98" s="11" t="inlineStr">
        <is>
          <t>On Hold - Underpayment, record outstanding, notify</t>
        </is>
      </c>
      <c r="D98" s="13" t="inlineStr">
        <is>
          <t>Matches</t>
        </is>
      </c>
      <c r="E98" s="11" t="inlineStr">
        <is>
          <t>js/admin-online-orders.js:561</t>
        </is>
      </c>
      <c r="F98" s="11" t="inlineStr">
        <is>
          <t>-</t>
        </is>
      </c>
      <c r="G98" s="11" t="inlineStr">
        <is>
          <t>None</t>
        </is>
      </c>
      <c r="H98" s="11" t="inlineStr"/>
      <c r="I98" s="11" t="inlineStr">
        <is>
          <t>Low</t>
        </is>
      </c>
      <c r="J98" s="11" t="inlineStr">
        <is>
          <t>-</t>
        </is>
      </c>
      <c r="K98" s="11" t="inlineStr">
        <is>
          <t>p.58</t>
        </is>
      </c>
    </row>
    <row r="99">
      <c r="A99" s="11" t="inlineStr">
        <is>
          <t>REQ098</t>
        </is>
      </c>
      <c r="B99" s="11" t="inlineStr">
        <is>
          <t>Payment Verification</t>
        </is>
      </c>
      <c r="C99" s="11" t="inlineStr">
        <is>
          <t>On Hold - Overpayment, excess as unapplied value</t>
        </is>
      </c>
      <c r="D99" s="16" t="inlineStr">
        <is>
          <t>Deviates</t>
        </is>
      </c>
      <c r="E99" s="11" t="inlineStr">
        <is>
          <t>js/admin-online-orders.js:638</t>
        </is>
      </c>
      <c r="F99" s="11" t="inlineStr">
        <is>
          <t>System approves overpaid orders immediately and adds the excess to store credit (no hold). Bug: on a resubmitted order the old hold is never cleared, so it gets stuck On Hold, and no 'Payment confirmed' notification is sent.</t>
        </is>
      </c>
      <c r="G99" s="11" t="inlineStr">
        <is>
          <t>System + paper</t>
        </is>
      </c>
      <c r="H99" s="11" t="inlineStr">
        <is>
          <t>The paper says hold everywhere (REQ095, REQ098, Fig 2.6 text, Fig 2.11 text and diagram); approve-and-credit is what the client agreed to in the Interview 4 walkthrough. Fix the bug and reword the paper (C2).</t>
        </is>
      </c>
      <c r="I99" s="11" t="inlineStr">
        <is>
          <t>High</t>
        </is>
      </c>
      <c r="J99" s="11" t="inlineStr">
        <is>
          <t>S</t>
        </is>
      </c>
      <c r="K99" s="11" t="inlineStr">
        <is>
          <t>p.59; Fig 2.11; Interview 4</t>
        </is>
      </c>
    </row>
    <row r="100">
      <c r="A100" s="11" t="inlineStr">
        <is>
          <t>REQ099</t>
        </is>
      </c>
      <c r="B100" s="11" t="inlineStr">
        <is>
          <t>Payment Verification</t>
        </is>
      </c>
      <c r="C100" s="11" t="inlineStr">
        <is>
          <t>On Hold - Payment Not Received, reason, notify</t>
        </is>
      </c>
      <c r="D100" s="13" t="inlineStr">
        <is>
          <t>Matches</t>
        </is>
      </c>
      <c r="E100" s="11" t="inlineStr">
        <is>
          <t>js/admin-online-orders.js</t>
        </is>
      </c>
      <c r="F100" s="11" t="inlineStr">
        <is>
          <t>847c877: 'Payment not received' is its own hold type; customer sees 'Payment Rejected - Re-upload Needed'. (was: Exists only as a reason under 'Invalid payment', not as its own hold type.)</t>
        </is>
      </c>
      <c r="G100" s="11" t="inlineStr">
        <is>
          <t>None</t>
        </is>
      </c>
      <c r="H100" s="11" t="inlineStr">
        <is>
          <t>Use case text lists four hold types.</t>
        </is>
      </c>
      <c r="I100" s="11" t="inlineStr">
        <is>
          <t>Low</t>
        </is>
      </c>
      <c r="J100" s="11" t="inlineStr">
        <is>
          <t>S</t>
        </is>
      </c>
      <c r="K100" s="11" t="inlineStr">
        <is>
          <t>p.59</t>
        </is>
      </c>
    </row>
    <row r="101">
      <c r="A101" s="11" t="inlineStr">
        <is>
          <t>REQ100</t>
        </is>
      </c>
      <c r="B101" s="11" t="inlineStr">
        <is>
          <t>Payment Verification</t>
        </is>
      </c>
      <c r="C101" s="11" t="inlineStr">
        <is>
          <t>Auto-close after 7 days; verified payment kept as credit</t>
        </is>
      </c>
      <c r="D101" s="13" t="inlineStr">
        <is>
          <t>Matches</t>
        </is>
      </c>
      <c r="E101" s="11" t="inlineStr">
        <is>
          <t>js/orders.js:133</t>
        </is>
      </c>
      <c r="F101" s="11" t="inlineStr">
        <is>
          <t>Checked when a page loads (no background job).</t>
        </is>
      </c>
      <c r="G101" s="11" t="inlineStr">
        <is>
          <t>None</t>
        </is>
      </c>
      <c r="H101" s="11" t="inlineStr">
        <is>
          <t>Fine without a server.</t>
        </is>
      </c>
      <c r="I101" s="11" t="inlineStr">
        <is>
          <t>Low</t>
        </is>
      </c>
      <c r="J101" s="11" t="inlineStr">
        <is>
          <t>-</t>
        </is>
      </c>
      <c r="K101" s="11" t="inlineStr">
        <is>
          <t>p.59</t>
        </is>
      </c>
    </row>
    <row r="102">
      <c r="A102" s="11" t="inlineStr">
        <is>
          <t>REQ101</t>
        </is>
      </c>
      <c r="B102" s="11" t="inlineStr">
        <is>
          <t>Payment Verification</t>
        </is>
      </c>
      <c r="C102" s="11" t="inlineStr">
        <is>
          <t>Status to confirmed on approval</t>
        </is>
      </c>
      <c r="D102" s="13" t="inlineStr">
        <is>
          <t>Matches</t>
        </is>
      </c>
      <c r="E102" s="11" t="inlineStr">
        <is>
          <t>js/admin-online-orders.js:392</t>
        </is>
      </c>
      <c r="F102" s="11" t="inlineStr">
        <is>
          <t>-</t>
        </is>
      </c>
      <c r="G102" s="11" t="inlineStr">
        <is>
          <t>None</t>
        </is>
      </c>
      <c r="H102" s="11" t="inlineStr"/>
      <c r="I102" s="11" t="inlineStr">
        <is>
          <t>Low</t>
        </is>
      </c>
      <c r="J102" s="11" t="inlineStr">
        <is>
          <t>-</t>
        </is>
      </c>
      <c r="K102" s="11" t="inlineStr">
        <is>
          <t>p.59</t>
        </is>
      </c>
    </row>
    <row r="103">
      <c r="A103" s="11" t="inlineStr">
        <is>
          <t>REQ102</t>
        </is>
      </c>
      <c r="B103" s="11" t="inlineStr">
        <is>
          <t>Payment Verification</t>
        </is>
      </c>
      <c r="C103" s="11" t="inlineStr">
        <is>
          <t>Notify customer on verification</t>
        </is>
      </c>
      <c r="D103" s="13" t="inlineStr">
        <is>
          <t>Matches</t>
        </is>
      </c>
      <c r="E103" s="11" t="inlineStr">
        <is>
          <t>js/admin-online-orders.js:392</t>
        </is>
      </c>
      <c r="F103" s="11" t="inlineStr">
        <is>
          <t>Fixed: overpayment approval now notifies the customer. (was: Works for normal approvals; missing for overpayment approvals (see REQ098).)</t>
        </is>
      </c>
      <c r="G103" s="11" t="inlineStr">
        <is>
          <t>None</t>
        </is>
      </c>
      <c r="H103" s="11" t="inlineStr">
        <is>
          <t>Same fix as REQ098.</t>
        </is>
      </c>
      <c r="I103" s="11" t="inlineStr">
        <is>
          <t>Med</t>
        </is>
      </c>
      <c r="J103" s="11" t="inlineStr">
        <is>
          <t>S</t>
        </is>
      </c>
      <c r="K103" s="11" t="inlineStr">
        <is>
          <t>p.59</t>
        </is>
      </c>
    </row>
    <row r="104">
      <c r="A104" s="11" t="inlineStr">
        <is>
          <t>REQ103</t>
        </is>
      </c>
      <c r="B104" s="11" t="inlineStr">
        <is>
          <t>Delivery</t>
        </is>
      </c>
      <c r="C104" s="11" t="inlineStr">
        <is>
          <t>Compile name, address, contact, schedule, order ID; one-click copy</t>
        </is>
      </c>
      <c r="D104" s="13" t="inlineStr">
        <is>
          <t>Matches</t>
        </is>
      </c>
      <c r="E104" s="11" t="inlineStr">
        <is>
          <t>js/admin-online-orders.js:721</t>
        </is>
      </c>
      <c r="F104" s="11" t="inlineStr">
        <is>
          <t>06574da: approved modal shows order no. and preferred schedule, with a Copy All button. (was: Separate copy buttons for address/name/contact/notes. Preferred schedule and order ID are not shown; no 'copy all'.)</t>
        </is>
      </c>
      <c r="G104" s="11" t="inlineStr">
        <is>
          <t>None</t>
        </is>
      </c>
      <c r="H104" s="11" t="inlineStr">
        <is>
          <t>Small; schedule is already saved on the order.</t>
        </is>
      </c>
      <c r="I104" s="11" t="inlineStr">
        <is>
          <t>Low</t>
        </is>
      </c>
      <c r="J104" s="11" t="inlineStr">
        <is>
          <t>S</t>
        </is>
      </c>
      <c r="K104" s="11" t="inlineStr">
        <is>
          <t>p.59</t>
        </is>
      </c>
    </row>
    <row r="105">
      <c r="A105" s="11" t="inlineStr">
        <is>
          <t>REQ104</t>
        </is>
      </c>
      <c r="B105" s="11" t="inlineStr">
        <is>
          <t>Delivery</t>
        </is>
      </c>
      <c r="C105" s="11" t="inlineStr">
        <is>
          <t>Mark Dispatched and enter Lalamove tracking URL</t>
        </is>
      </c>
      <c r="D105" s="13" t="inlineStr">
        <is>
          <t>Matches</t>
        </is>
      </c>
      <c r="E105" s="11" t="inlineStr">
        <is>
          <t>js/admin-online-orders.js:751</t>
        </is>
      </c>
      <c r="F105" s="11" t="inlineStr">
        <is>
          <t>Tracking link format is validated.</t>
        </is>
      </c>
      <c r="G105" s="11" t="inlineStr">
        <is>
          <t>None</t>
        </is>
      </c>
      <c r="H105" s="11" t="inlineStr"/>
      <c r="I105" s="11" t="inlineStr">
        <is>
          <t>Low</t>
        </is>
      </c>
      <c r="J105" s="11" t="inlineStr">
        <is>
          <t>-</t>
        </is>
      </c>
      <c r="K105" s="11" t="inlineStr">
        <is>
          <t>p.59</t>
        </is>
      </c>
    </row>
    <row r="106">
      <c r="A106" s="11" t="inlineStr">
        <is>
          <t>REQ105</t>
        </is>
      </c>
      <c r="B106" s="11" t="inlineStr">
        <is>
          <t>Delivery</t>
        </is>
      </c>
      <c r="C106" s="11" t="inlineStr">
        <is>
          <t>Reflect status to customer; customer 'Order Received' finalizes as Delivered</t>
        </is>
      </c>
      <c r="D106" s="16" t="inlineStr">
        <is>
          <t>Deviates</t>
        </is>
      </c>
      <c r="E106" s="11" t="inlineStr">
        <is>
          <t>js/order-details.js</t>
        </is>
      </c>
      <c r="F106" s="11" t="inlineStr">
        <is>
          <t>Tracking link now shown to the customer. Remaining difference is wording: customer confirmation sets 'Received' after 'Delivered' (fix in paper). (was: Customer sees status, but not the tracking link. Customer confirmation sets 'Received' (a separate step after 'Delivered').)</t>
        </is>
      </c>
      <c r="G106" s="11" t="inlineStr">
        <is>
          <t>System + paper</t>
        </is>
      </c>
      <c r="H106" s="11" t="inlineStr">
        <is>
          <t>Show link (system); describe Delivered vs Received (paper) - see C1.</t>
        </is>
      </c>
      <c r="I106" s="11" t="inlineStr">
        <is>
          <t>High</t>
        </is>
      </c>
      <c r="J106" s="11" t="inlineStr">
        <is>
          <t>S</t>
        </is>
      </c>
      <c r="K106" s="11" t="inlineStr">
        <is>
          <t>p.60</t>
        </is>
      </c>
    </row>
    <row r="107">
      <c r="A107" s="11" t="inlineStr">
        <is>
          <t>REQ106</t>
        </is>
      </c>
      <c r="B107" s="11" t="inlineStr">
        <is>
          <t>Delivery</t>
        </is>
      </c>
      <c r="C107" s="11" t="inlineStr">
        <is>
          <t>Auto Dispatched -&gt; Delivered after 3 days</t>
        </is>
      </c>
      <c r="D107" s="13" t="inlineStr">
        <is>
          <t>Matches</t>
        </is>
      </c>
      <c r="E107" s="11" t="inlineStr">
        <is>
          <t>js/orders.js:82</t>
        </is>
      </c>
      <c r="F107" s="11" t="inlineStr">
        <is>
          <t>-</t>
        </is>
      </c>
      <c r="G107" s="11" t="inlineStr">
        <is>
          <t>None</t>
        </is>
      </c>
      <c r="H107" s="11" t="inlineStr"/>
      <c r="I107" s="11" t="inlineStr">
        <is>
          <t>Low</t>
        </is>
      </c>
      <c r="J107" s="11" t="inlineStr">
        <is>
          <t>-</t>
        </is>
      </c>
      <c r="K107" s="11" t="inlineStr">
        <is>
          <t>p.60</t>
        </is>
      </c>
    </row>
    <row r="108">
      <c r="A108" s="11" t="inlineStr">
        <is>
          <t>REQ107</t>
        </is>
      </c>
      <c r="B108" s="11" t="inlineStr">
        <is>
          <t>Delivery</t>
        </is>
      </c>
      <c r="C108" s="11" t="inlineStr">
        <is>
          <t>Optional internal delivery notes</t>
        </is>
      </c>
      <c r="D108" s="13" t="inlineStr">
        <is>
          <t>Matches</t>
        </is>
      </c>
      <c r="E108" s="11" t="inlineStr">
        <is>
          <t>-</t>
        </is>
      </c>
      <c r="F108" s="11" t="inlineStr">
        <is>
          <t>06574da: optional internal delivery notes saved on dispatch. (was: Not built.)</t>
        </is>
      </c>
      <c r="G108" s="11" t="inlineStr">
        <is>
          <t>None</t>
        </is>
      </c>
      <c r="H108" s="11" t="inlineStr">
        <is>
          <t>Small.</t>
        </is>
      </c>
      <c r="I108" s="11" t="inlineStr">
        <is>
          <t>Low</t>
        </is>
      </c>
      <c r="J108" s="11" t="inlineStr">
        <is>
          <t>S</t>
        </is>
      </c>
      <c r="K108" s="11" t="inlineStr">
        <is>
          <t>p.60</t>
        </is>
      </c>
    </row>
    <row r="109">
      <c r="A109" s="11" t="inlineStr">
        <is>
          <t>REQ108</t>
        </is>
      </c>
      <c r="B109" s="11" t="inlineStr">
        <is>
          <t>Live Chat Management</t>
        </is>
      </c>
      <c r="C109" s="11" t="inlineStr">
        <is>
          <t>Staff view customer and AI conversations</t>
        </is>
      </c>
      <c r="D109" s="15" t="inlineStr">
        <is>
          <t>Missing</t>
        </is>
      </c>
      <c r="E109" s="11" t="inlineStr">
        <is>
          <t>admin/*.html 'Live Chat' href='#'</t>
        </is>
      </c>
      <c r="F109" s="11" t="inlineStr">
        <is>
          <t>Sidebar link goes nowhere on all 12 admin pages.</t>
        </is>
      </c>
      <c r="G109" s="11" t="inlineStr">
        <is>
          <t>Decision needed</t>
        </is>
      </c>
      <c r="H109" s="11" t="inlineStr">
        <is>
          <t>Same decision as REQ035.</t>
        </is>
      </c>
      <c r="I109" s="11" t="inlineStr">
        <is>
          <t>High</t>
        </is>
      </c>
      <c r="J109" s="11" t="inlineStr">
        <is>
          <t>L</t>
        </is>
      </c>
      <c r="K109" s="11" t="inlineStr">
        <is>
          <t>p.60</t>
        </is>
      </c>
    </row>
    <row r="110">
      <c r="A110" s="11" t="inlineStr">
        <is>
          <t>REQ109</t>
        </is>
      </c>
      <c r="B110" s="11" t="inlineStr">
        <is>
          <t>Live Chat Management</t>
        </is>
      </c>
      <c r="C110" s="11" t="inlineStr">
        <is>
          <t>Staff respond to customers</t>
        </is>
      </c>
      <c r="D110" s="15" t="inlineStr">
        <is>
          <t>Missing</t>
        </is>
      </c>
      <c r="E110" s="11" t="inlineStr">
        <is>
          <t>-</t>
        </is>
      </c>
      <c r="F110" s="11" t="inlineStr">
        <is>
          <t>Not built.</t>
        </is>
      </c>
      <c r="G110" s="11" t="inlineStr">
        <is>
          <t>Decision needed</t>
        </is>
      </c>
      <c r="H110" s="11" t="inlineStr">
        <is>
          <t>Same decision as REQ035.</t>
        </is>
      </c>
      <c r="I110" s="11" t="inlineStr">
        <is>
          <t>High</t>
        </is>
      </c>
      <c r="J110" s="11" t="inlineStr">
        <is>
          <t>L</t>
        </is>
      </c>
      <c r="K110" s="11" t="inlineStr">
        <is>
          <t>p.60</t>
        </is>
      </c>
    </row>
    <row r="111">
      <c r="A111" s="11" t="inlineStr">
        <is>
          <t>REQ110</t>
        </is>
      </c>
      <c r="B111" s="11" t="inlineStr">
        <is>
          <t>Live Chat Management</t>
        </is>
      </c>
      <c r="C111" s="11" t="inlineStr">
        <is>
          <t>Mark threads resolved</t>
        </is>
      </c>
      <c r="D111" s="15" t="inlineStr">
        <is>
          <t>Missing</t>
        </is>
      </c>
      <c r="E111" s="11" t="inlineStr">
        <is>
          <t>-</t>
        </is>
      </c>
      <c r="F111" s="11" t="inlineStr">
        <is>
          <t>Not built.</t>
        </is>
      </c>
      <c r="G111" s="11" t="inlineStr">
        <is>
          <t>Decision needed</t>
        </is>
      </c>
      <c r="H111" s="11" t="inlineStr">
        <is>
          <t>Same decision as REQ035.</t>
        </is>
      </c>
      <c r="I111" s="11" t="inlineStr">
        <is>
          <t>Med</t>
        </is>
      </c>
      <c r="J111" s="11" t="inlineStr">
        <is>
          <t>S</t>
        </is>
      </c>
      <c r="K111" s="11" t="inlineStr">
        <is>
          <t>p.60</t>
        </is>
      </c>
    </row>
    <row r="112">
      <c r="A112" s="11" t="inlineStr">
        <is>
          <t>REQ111</t>
        </is>
      </c>
      <c r="B112" s="11" t="inlineStr">
        <is>
          <t>Reports</t>
        </is>
      </c>
      <c r="C112" s="11" t="inlineStr">
        <is>
          <t>Export daily sales reports (from Order Processing)</t>
        </is>
      </c>
      <c r="D112" s="14" t="inlineStr">
        <is>
          <t>Partial</t>
        </is>
      </c>
      <c r="E112" s="11" t="inlineStr">
        <is>
          <t>js/admin-online-orders.js (Export -&gt; exportBlankPdf)</t>
        </is>
      </c>
      <c r="F112" s="11" t="inlineStr">
        <is>
          <t>aece0e7: Online Orders Export now gives real PDF/Excel of the listed orders. Client's daily sales format still to build. (was: Online Orders Export downloads a blank PDF. Dashboard Sales Analytics export works but is not the daily sales report the client described (per customer, items with batch + expiry).)</t>
        </is>
      </c>
      <c r="G112" s="11" t="inlineStr">
        <is>
          <t>Change system</t>
        </is>
      </c>
      <c r="H112" s="11" t="inlineStr">
        <is>
          <t>Objective 3 and the client's one remaining ask in Interview 4 ('wala pa tayo dun sa reporting').</t>
        </is>
      </c>
      <c r="I112" s="11" t="inlineStr">
        <is>
          <t>High</t>
        </is>
      </c>
      <c r="J112" s="11" t="inlineStr">
        <is>
          <t>L</t>
        </is>
      </c>
      <c r="K112" s="11" t="inlineStr">
        <is>
          <t>p.60; Obj. 3; Interviews 2-4</t>
        </is>
      </c>
    </row>
    <row r="113">
      <c r="A113" s="11" t="inlineStr">
        <is>
          <t>REQ112</t>
        </is>
      </c>
      <c r="B113" s="11" t="inlineStr">
        <is>
          <t>Reports</t>
        </is>
      </c>
      <c r="C113" s="11" t="inlineStr">
        <is>
          <t>Export monthly inventory + purchase reports (from Inventory)</t>
        </is>
      </c>
      <c r="D113" s="14" t="inlineStr">
        <is>
          <t>Partial</t>
        </is>
      </c>
      <c r="E113" s="11" t="inlineStr">
        <is>
          <t>js/admin-inventory.js (Export -&gt; exportBlankPdf)</t>
        </is>
      </c>
      <c r="F113" s="11" t="inlineStr">
        <is>
          <t>aece0e7: Inventory Export now gives real PDF/Excel by batch (expiry, supplier, receipt/DR no., unit cost, date received). Client's monthly format still to build. (was: Inventory Export downloads a blank PDF.)</t>
        </is>
      </c>
      <c r="G113" s="11" t="inlineStr">
        <is>
          <t>Change system</t>
        </is>
      </c>
      <c r="H113" s="11" t="inlineStr">
        <is>
          <t>Client needs batch, expiry, date received, receipt no., supplier (Interview 2, 4).</t>
        </is>
      </c>
      <c r="I113" s="11" t="inlineStr">
        <is>
          <t>High</t>
        </is>
      </c>
      <c r="J113" s="11" t="inlineStr">
        <is>
          <t>L</t>
        </is>
      </c>
      <c r="K113" s="11" t="inlineStr">
        <is>
          <t>p.60; Interviews 2, 4</t>
        </is>
      </c>
    </row>
    <row r="114">
      <c r="A114" s="11" t="inlineStr">
        <is>
          <t>REQ113</t>
        </is>
      </c>
      <c r="B114" s="11" t="inlineStr">
        <is>
          <t>Reports</t>
        </is>
      </c>
      <c r="C114" s="11" t="inlineStr">
        <is>
          <t>Pull-out reports by date range</t>
        </is>
      </c>
      <c r="D114" s="15" t="inlineStr">
        <is>
          <t>Missing</t>
        </is>
      </c>
      <c r="E114" s="11" t="inlineStr">
        <is>
          <t>-</t>
        </is>
      </c>
      <c r="F114" s="11" t="inlineStr">
        <is>
          <t>Not built (write-offs are recorded, so data exists).</t>
        </is>
      </c>
      <c r="G114" s="11" t="inlineStr">
        <is>
          <t>Change system</t>
        </is>
      </c>
      <c r="H114" s="11" t="inlineStr">
        <is>
          <t>Client lists pull-out as a required monthly report (Interview 2).</t>
        </is>
      </c>
      <c r="I114" s="11" t="inlineStr">
        <is>
          <t>High</t>
        </is>
      </c>
      <c r="J114" s="11" t="inlineStr">
        <is>
          <t>M</t>
        </is>
      </c>
      <c r="K114" s="11" t="inlineStr">
        <is>
          <t>p.60; Interview 2</t>
        </is>
      </c>
    </row>
    <row r="115">
      <c r="A115" s="11" t="inlineStr">
        <is>
          <t>REQ114</t>
        </is>
      </c>
      <c r="B115" s="11" t="inlineStr">
        <is>
          <t>Reports</t>
        </is>
      </c>
      <c r="C115" s="11" t="inlineStr">
        <is>
          <t>Wholesale exchange reports by period</t>
        </is>
      </c>
      <c r="D115" s="15" t="inlineStr">
        <is>
          <t>Missing</t>
        </is>
      </c>
      <c r="E115" s="11" t="inlineStr">
        <is>
          <t>-</t>
        </is>
      </c>
      <c r="F115" s="11" t="inlineStr">
        <is>
          <t>Not built; depends on REQ090.</t>
        </is>
      </c>
      <c r="G115" s="11" t="inlineStr">
        <is>
          <t>Change system</t>
        </is>
      </c>
      <c r="H115" s="11" t="inlineStr"/>
      <c r="I115" s="11" t="inlineStr">
        <is>
          <t>Med</t>
        </is>
      </c>
      <c r="J115" s="11" t="inlineStr">
        <is>
          <t>M</t>
        </is>
      </c>
      <c r="K115" s="11" t="inlineStr">
        <is>
          <t>p.61</t>
        </is>
      </c>
    </row>
    <row r="116">
      <c r="A116" s="11" t="inlineStr">
        <is>
          <t>REQ115</t>
        </is>
      </c>
      <c r="B116" s="11" t="inlineStr">
        <is>
          <t>Reports</t>
        </is>
      </c>
      <c r="C116" s="11" t="inlineStr">
        <is>
          <t>All reports in PDF or Excel</t>
        </is>
      </c>
      <c r="D116" s="14" t="inlineStr">
        <is>
          <t>Partial</t>
        </is>
      </c>
      <c r="E116" s="11" t="inlineStr">
        <is>
          <t>js/admin-dashboard.js:471</t>
        </is>
      </c>
      <c r="F116" s="11" t="inlineStr">
        <is>
          <t>aece0e7: all 6 Export buttons now give real PDF or Excel. Client report formats still to build. (was: Only Sales Analytics exports (PDF + Excel). Five other Export buttons give blank PDFs (Dashboard, Inventory, Online Orders, Suppliers, Audit Log).)</t>
        </is>
      </c>
      <c r="G116" s="11" t="inlineStr">
        <is>
          <t>Change system</t>
        </is>
      </c>
      <c r="H116" s="11" t="inlineStr"/>
      <c r="I116" s="11" t="inlineStr">
        <is>
          <t>High</t>
        </is>
      </c>
      <c r="J116" s="11" t="inlineStr">
        <is>
          <t>M</t>
        </is>
      </c>
      <c r="K116" s="11" t="inlineStr">
        <is>
          <t>p.61</t>
        </is>
      </c>
    </row>
    <row r="117">
      <c r="A117" s="11" t="inlineStr">
        <is>
          <t>REQ116</t>
        </is>
      </c>
      <c r="B117" s="11" t="inlineStr">
        <is>
          <t>Customer Accounts</t>
        </is>
      </c>
      <c r="C117" s="11" t="inlineStr">
        <is>
          <t>View profiles: status, registration date, order history</t>
        </is>
      </c>
      <c r="D117" s="13" t="inlineStr">
        <is>
          <t>Matches</t>
        </is>
      </c>
      <c r="E117" s="11" t="inlineStr">
        <is>
          <t>js/admin-customer-accounts.js:179</t>
        </is>
      </c>
      <c r="F117" s="11" t="inlineStr">
        <is>
          <t>847c877: customer profile lists their orders with status. (was: Shows total order count, not the order list.)</t>
        </is>
      </c>
      <c r="G117" s="11" t="inlineStr">
        <is>
          <t>None</t>
        </is>
      </c>
      <c r="H117" s="11" t="inlineStr">
        <is>
          <t>Small.</t>
        </is>
      </c>
      <c r="I117" s="11" t="inlineStr">
        <is>
          <t>Low</t>
        </is>
      </c>
      <c r="J117" s="11" t="inlineStr">
        <is>
          <t>S</t>
        </is>
      </c>
      <c r="K117" s="11" t="inlineStr">
        <is>
          <t>p.61</t>
        </is>
      </c>
    </row>
    <row r="118">
      <c r="A118" s="11" t="inlineStr">
        <is>
          <t>REQ117</t>
        </is>
      </c>
      <c r="B118" s="11" t="inlineStr">
        <is>
          <t>Customer Accounts</t>
        </is>
      </c>
      <c r="C118" s="11" t="inlineStr">
        <is>
          <t>Deactivate without deleting</t>
        </is>
      </c>
      <c r="D118" s="13" t="inlineStr">
        <is>
          <t>Matches</t>
        </is>
      </c>
      <c r="E118" s="11" t="inlineStr">
        <is>
          <t>js/admin-customer-accounts.js:209</t>
        </is>
      </c>
      <c r="F118" s="11" t="inlineStr">
        <is>
          <t>-</t>
        </is>
      </c>
      <c r="G118" s="11" t="inlineStr">
        <is>
          <t>None</t>
        </is>
      </c>
      <c r="H118" s="11" t="inlineStr"/>
      <c r="I118" s="11" t="inlineStr">
        <is>
          <t>Low</t>
        </is>
      </c>
      <c r="J118" s="11" t="inlineStr">
        <is>
          <t>-</t>
        </is>
      </c>
      <c r="K118" s="11" t="inlineStr">
        <is>
          <t>p.61</t>
        </is>
      </c>
    </row>
    <row r="119">
      <c r="A119" s="11" t="inlineStr">
        <is>
          <t>REQ118</t>
        </is>
      </c>
      <c r="B119" s="11" t="inlineStr">
        <is>
          <t>Staff Management</t>
        </is>
      </c>
      <c r="C119" s="11" t="inlineStr">
        <is>
          <t>BM creates, modifies, revokes staff accounts</t>
        </is>
      </c>
      <c r="D119" s="13" t="inlineStr">
        <is>
          <t>Matches</t>
        </is>
      </c>
      <c r="E119" s="11" t="inlineStr">
        <is>
          <t>js/admin-staff-management.js:188</t>
        </is>
      </c>
      <c r="F119" s="11" t="inlineStr">
        <is>
          <t>847c877: staff form uses the shared name/email/password rules; Administrator no longer demoted on edit. (was: Works (revoke = deactivate). New staff accounts skip the shared name/email/password validators, and editing an Administrator silently changes it to Branch Manager (js/admin-staff-management.js:181).)</t>
        </is>
      </c>
      <c r="G119" s="11" t="inlineStr">
        <is>
          <t>None</t>
        </is>
      </c>
      <c r="H119" s="11" t="inlineStr">
        <is>
          <t>Small.</t>
        </is>
      </c>
      <c r="I119" s="11" t="inlineStr">
        <is>
          <t>Low</t>
        </is>
      </c>
      <c r="J119" s="11" t="inlineStr">
        <is>
          <t>S</t>
        </is>
      </c>
      <c r="K119" s="11" t="inlineStr">
        <is>
          <t>p.61</t>
        </is>
      </c>
    </row>
    <row r="120">
      <c r="A120" s="11" t="inlineStr">
        <is>
          <t>REQ119</t>
        </is>
      </c>
      <c r="B120" s="11" t="inlineStr">
        <is>
          <t>Staff Management</t>
        </is>
      </c>
      <c r="C120" s="11" t="inlineStr">
        <is>
          <t>BM assigns roles that set accessible modules</t>
        </is>
      </c>
      <c r="D120" s="13" t="inlineStr">
        <is>
          <t>Matches</t>
        </is>
      </c>
      <c r="E120" s="11" t="inlineStr">
        <is>
          <t>js/admin-roles.js:14</t>
        </is>
      </c>
      <c r="F120" s="11" t="inlineStr">
        <is>
          <t>-</t>
        </is>
      </c>
      <c r="G120" s="11" t="inlineStr">
        <is>
          <t>None</t>
        </is>
      </c>
      <c r="H120" s="11" t="inlineStr"/>
      <c r="I120" s="11" t="inlineStr">
        <is>
          <t>Low</t>
        </is>
      </c>
      <c r="J120" s="11" t="inlineStr">
        <is>
          <t>-</t>
        </is>
      </c>
      <c r="K120" s="11" t="inlineStr">
        <is>
          <t>p.61</t>
        </is>
      </c>
    </row>
    <row r="121">
      <c r="A121" s="11" t="inlineStr">
        <is>
          <t>REQ120</t>
        </is>
      </c>
      <c r="B121" s="11" t="inlineStr">
        <is>
          <t>Staff Management</t>
        </is>
      </c>
      <c r="C121" s="11" t="inlineStr">
        <is>
          <t>Technical Staff cannot access Staff Management or Price Management</t>
        </is>
      </c>
      <c r="D121" s="13" t="inlineStr">
        <is>
          <t>Matches</t>
        </is>
      </c>
      <c r="E121" s="11" t="inlineStr">
        <is>
          <t>js/admin-roles.js:14</t>
        </is>
      </c>
      <c r="F121" s="11" t="inlineStr">
        <is>
          <t>Fixed with REQ071. (was: Staff Management is blocked. Price: see REQ071 (Technical Staff can set prices on new products).)</t>
        </is>
      </c>
      <c r="G121" s="11" t="inlineStr">
        <is>
          <t>None</t>
        </is>
      </c>
      <c r="H121" s="11" t="inlineStr">
        <is>
          <t>Fixed together with REQ071.</t>
        </is>
      </c>
      <c r="I121" s="11" t="inlineStr">
        <is>
          <t>Med</t>
        </is>
      </c>
      <c r="J121" s="11" t="inlineStr">
        <is>
          <t>S</t>
        </is>
      </c>
      <c r="K121" s="11" t="inlineStr">
        <is>
          <t>p.61</t>
        </is>
      </c>
    </row>
    <row r="122">
      <c r="A122" s="11" t="inlineStr">
        <is>
          <t>REQ121</t>
        </is>
      </c>
      <c r="B122" s="11" t="inlineStr">
        <is>
          <t>Staff Management</t>
        </is>
      </c>
      <c r="C122" s="11" t="inlineStr">
        <is>
          <t>Sales Staff: walk-in orders + catalog viewing only</t>
        </is>
      </c>
      <c r="D122" s="13" t="inlineStr">
        <is>
          <t>Matches</t>
        </is>
      </c>
      <c r="E122" s="11" t="inlineStr">
        <is>
          <t>js/admin-roles.js:14</t>
        </is>
      </c>
      <c r="F122" s="11" t="inlineStr">
        <is>
          <t>57f4d80: Sales Staff limited to POS (with Today's Sales) + read-only catalog. (was: Sales Staff can also open Dashboard, Orders, Products (with editing), and Notifications. Orders access was added deliberately on 2026-10-01 for the Walk-in Orders tab.)</t>
        </is>
      </c>
      <c r="G122" s="11" t="inlineStr">
        <is>
          <t>None</t>
        </is>
      </c>
      <c r="H122" s="11" t="inlineStr">
        <is>
          <t>Client said Sales Staff is 'POS lang' (Interviews 2, 4). Either trim access, or reword REQ121 to include walk-in history.</t>
        </is>
      </c>
      <c r="I122" s="11" t="inlineStr">
        <is>
          <t>Med</t>
        </is>
      </c>
      <c r="J122" s="11" t="inlineStr">
        <is>
          <t>S</t>
        </is>
      </c>
      <c r="K122" s="11" t="inlineStr">
        <is>
          <t>p.61; Interviews 2, 4</t>
        </is>
      </c>
    </row>
    <row r="123">
      <c r="A123" s="11" t="inlineStr">
        <is>
          <t>REQ122</t>
        </is>
      </c>
      <c r="B123" s="11" t="inlineStr">
        <is>
          <t>Audit Log</t>
        </is>
      </c>
      <c r="C123" s="11" t="inlineStr">
        <is>
          <t>Log price changes, voids, wholesale exchanges, write-offs with user, time, record, before/after, reason</t>
        </is>
      </c>
      <c r="D123" s="14" t="inlineStr">
        <is>
          <t>Partial</t>
        </is>
      </c>
      <c r="E123" s="11" t="inlineStr">
        <is>
          <t>js/products-data.js:664</t>
        </is>
      </c>
      <c r="F123" s="11" t="inlineStr">
        <is>
          <t>Now also logs stock receiving, voids (reason), RX approvals/rejections, free-of-cost distributions and reconciliation variances with reason. Still free-text before/after; IP shown as '-'. (was: Logs price changes, write-offs, reconciliation, wholesale orders, account changes. Stock receiving is not logged (Fig 2.12 shows it). Voids and exchanges don't exist yet. Before/after values are free text, reasons mostly missing, IP shown as '-'.)</t>
        </is>
      </c>
      <c r="G123" s="11" t="inlineStr">
        <is>
          <t>Change system</t>
        </is>
      </c>
      <c r="H123" s="11" t="inlineStr">
        <is>
          <t>Comes with the void/exchange/reason work.</t>
        </is>
      </c>
      <c r="I123" s="11" t="inlineStr">
        <is>
          <t>Med</t>
        </is>
      </c>
      <c r="J123" s="11" t="inlineStr">
        <is>
          <t>M</t>
        </is>
      </c>
      <c r="K123" s="11" t="inlineStr">
        <is>
          <t>p.61</t>
        </is>
      </c>
    </row>
    <row r="124">
      <c r="A124" s="11" t="inlineStr">
        <is>
          <t>REQ123</t>
        </is>
      </c>
      <c r="B124" s="11" t="inlineStr">
        <is>
          <t>Audit Log</t>
        </is>
      </c>
      <c r="C124" s="11" t="inlineStr">
        <is>
          <t>Audit log accessible to BM and Technical Staff</t>
        </is>
      </c>
      <c r="D124" s="13" t="inlineStr">
        <is>
          <t>Matches</t>
        </is>
      </c>
      <c r="E124" s="11" t="inlineStr">
        <is>
          <t>js/admin-roles.js:14</t>
        </is>
      </c>
      <c r="F124" s="11" t="inlineStr">
        <is>
          <t>-</t>
        </is>
      </c>
      <c r="G124" s="11" t="inlineStr">
        <is>
          <t>None</t>
        </is>
      </c>
      <c r="H124" s="11" t="inlineStr"/>
      <c r="I124" s="11" t="inlineStr">
        <is>
          <t>Low</t>
        </is>
      </c>
      <c r="J124" s="11" t="inlineStr">
        <is>
          <t>-</t>
        </is>
      </c>
      <c r="K124" s="11" t="inlineStr">
        <is>
          <t>p.62</t>
        </is>
      </c>
    </row>
    <row r="125">
      <c r="A125" s="11" t="inlineStr">
        <is>
          <t>REQ124</t>
        </is>
      </c>
      <c r="B125" s="11" t="inlineStr">
        <is>
          <t>Audit Log</t>
        </is>
      </c>
      <c r="C125" s="11" t="inlineStr">
        <is>
          <t>Entries can't be edited or deleted</t>
        </is>
      </c>
      <c r="D125" s="13" t="inlineStr">
        <is>
          <t>Matches</t>
        </is>
      </c>
      <c r="E125" s="11" t="inlineStr">
        <is>
          <t>firestore.rules:156</t>
        </is>
      </c>
      <c r="F125" s="11" t="inlineStr">
        <is>
          <t>-</t>
        </is>
      </c>
      <c r="G125" s="11" t="inlineStr">
        <is>
          <t>None</t>
        </is>
      </c>
      <c r="H125" s="11" t="inlineStr"/>
      <c r="I125" s="11" t="inlineStr">
        <is>
          <t>Low</t>
        </is>
      </c>
      <c r="J125" s="11" t="inlineStr">
        <is>
          <t>-</t>
        </is>
      </c>
      <c r="K125" s="11" t="inlineStr">
        <is>
          <t>p.62</t>
        </is>
      </c>
    </row>
    <row r="126">
      <c r="A126" s="11" t="inlineStr">
        <is>
          <t>REQNF001</t>
        </is>
      </c>
      <c r="B126" s="11" t="inlineStr">
        <is>
          <t>Usability</t>
        </is>
      </c>
      <c r="C126" s="11" t="inlineStr">
        <is>
          <t>Consistent, organized layout</t>
        </is>
      </c>
      <c r="D126" s="13" t="inlineStr">
        <is>
          <t>Matches</t>
        </is>
      </c>
      <c r="E126" s="11" t="inlineStr">
        <is>
          <t>css/style.css</t>
        </is>
      </c>
      <c r="F126" s="11" t="inlineStr">
        <is>
          <t>-</t>
        </is>
      </c>
      <c r="G126" s="11" t="inlineStr">
        <is>
          <t>None</t>
        </is>
      </c>
      <c r="H126" s="11" t="inlineStr"/>
      <c r="I126" s="11" t="inlineStr">
        <is>
          <t>Low</t>
        </is>
      </c>
      <c r="J126" s="11" t="inlineStr">
        <is>
          <t>-</t>
        </is>
      </c>
      <c r="K126" s="11" t="inlineStr">
        <is>
          <t>p.62</t>
        </is>
      </c>
    </row>
    <row r="127">
      <c r="A127" s="11" t="inlineStr">
        <is>
          <t>REQNF002</t>
        </is>
      </c>
      <c r="B127" s="11" t="inlineStr">
        <is>
          <t>Usability</t>
        </is>
      </c>
      <c r="C127" s="11" t="inlineStr">
        <is>
          <t>Meaningful feedback messages</t>
        </is>
      </c>
      <c r="D127" s="13" t="inlineStr">
        <is>
          <t>Matches</t>
        </is>
      </c>
      <c r="E127" s="11" t="inlineStr">
        <is>
          <t>js/products-data.js (showAppAlert)</t>
        </is>
      </c>
      <c r="F127" s="11" t="inlineStr">
        <is>
          <t>-</t>
        </is>
      </c>
      <c r="G127" s="11" t="inlineStr">
        <is>
          <t>None</t>
        </is>
      </c>
      <c r="H127" s="11" t="inlineStr"/>
      <c r="I127" s="11" t="inlineStr">
        <is>
          <t>Low</t>
        </is>
      </c>
      <c r="J127" s="11" t="inlineStr">
        <is>
          <t>-</t>
        </is>
      </c>
      <c r="K127" s="11" t="inlineStr">
        <is>
          <t>p.62</t>
        </is>
      </c>
    </row>
    <row r="128">
      <c r="A128" s="11" t="inlineStr">
        <is>
          <t>REQNF003</t>
        </is>
      </c>
      <c r="B128" s="11" t="inlineStr">
        <is>
          <t>Usability</t>
        </is>
      </c>
      <c r="C128" s="11" t="inlineStr">
        <is>
          <t>Works on desktop, laptop, tablet, phone</t>
        </is>
      </c>
      <c r="D128" s="17" t="inlineStr">
        <is>
          <t>Not verified</t>
        </is>
      </c>
      <c r="E128" s="11" t="inlineStr">
        <is>
          <t>Bootstrap 5 responsive</t>
        </is>
      </c>
      <c r="F128" s="11" t="inlineStr">
        <is>
          <t>Not yet tested on real phones/tablets.</t>
        </is>
      </c>
      <c r="G128" s="11" t="inlineStr">
        <is>
          <t>Change system</t>
        </is>
      </c>
      <c r="H128" s="11" t="inlineStr">
        <is>
          <t>Quick Playwright pass at phone widths.</t>
        </is>
      </c>
      <c r="I128" s="11" t="inlineStr">
        <is>
          <t>Med</t>
        </is>
      </c>
      <c r="J128" s="11" t="inlineStr">
        <is>
          <t>S</t>
        </is>
      </c>
      <c r="K128" s="11" t="inlineStr">
        <is>
          <t>p.62</t>
        </is>
      </c>
    </row>
    <row r="129">
      <c r="A129" s="11" t="inlineStr">
        <is>
          <t>REQNF004</t>
        </is>
      </c>
      <c r="B129" s="11" t="inlineStr">
        <is>
          <t>Performance</t>
        </is>
      </c>
      <c r="C129" s="11" t="inlineStr">
        <is>
          <t>Standard operations load in reasonable time</t>
        </is>
      </c>
      <c r="D129" s="17" t="inlineStr">
        <is>
          <t>Not verified</t>
        </is>
      </c>
      <c r="E129" s="11" t="inlineStr">
        <is>
          <t>-</t>
        </is>
      </c>
      <c r="F129" s="11" t="inlineStr">
        <is>
          <t>Not measured. Several pages read whole collections.</t>
        </is>
      </c>
      <c r="G129" s="11" t="inlineStr">
        <is>
          <t>None</t>
        </is>
      </c>
      <c r="H129" s="11" t="inlineStr">
        <is>
          <t>Fine at client's volume (~50-100 customers/week, Interview 4).</t>
        </is>
      </c>
      <c r="I129" s="11" t="inlineStr">
        <is>
          <t>Low</t>
        </is>
      </c>
      <c r="J129" s="11" t="inlineStr">
        <is>
          <t>-</t>
        </is>
      </c>
      <c r="K129" s="11" t="inlineStr">
        <is>
          <t>p.62</t>
        </is>
      </c>
    </row>
    <row r="130">
      <c r="A130" s="11" t="inlineStr">
        <is>
          <t>REQNF005</t>
        </is>
      </c>
      <c r="B130" s="11" t="inlineStr">
        <is>
          <t>Performance</t>
        </is>
      </c>
      <c r="C130" s="11" t="inlineStr">
        <is>
          <t>Inventory/order changes appear without manual refresh</t>
        </is>
      </c>
      <c r="D130" s="16" t="inlineStr">
        <is>
          <t>Deviates</t>
        </is>
      </c>
      <c r="E130" s="11" t="inlineStr">
        <is>
          <t>all pages use one-time .get() reads</t>
        </is>
      </c>
      <c r="F130" s="11" t="inlineStr">
        <is>
          <t>Users must reload to see new orders or stock changes.</t>
        </is>
      </c>
      <c r="G130" s="11" t="inlineStr">
        <is>
          <t>Decision needed</t>
        </is>
      </c>
      <c r="H130" s="11" t="inlineStr">
        <is>
          <t>Live listeners on key screens (verification queue, customer order page) are moderate work; or reword.</t>
        </is>
      </c>
      <c r="I130" s="11" t="inlineStr">
        <is>
          <t>Med</t>
        </is>
      </c>
      <c r="J130" s="11" t="inlineStr">
        <is>
          <t>M</t>
        </is>
      </c>
      <c r="K130" s="11" t="inlineStr">
        <is>
          <t>p.63</t>
        </is>
      </c>
    </row>
    <row r="131">
      <c r="A131" s="11" t="inlineStr">
        <is>
          <t>REQNF006</t>
        </is>
      </c>
      <c r="B131" s="11" t="inlineStr">
        <is>
          <t>Performance</t>
        </is>
      </c>
      <c r="C131" s="11" t="inlineStr">
        <is>
          <t>Reports in reasonable time</t>
        </is>
      </c>
      <c r="D131" s="18" t="inlineStr">
        <is>
          <t>N/A</t>
        </is>
      </c>
      <c r="E131" s="11" t="inlineStr">
        <is>
          <t>-</t>
        </is>
      </c>
      <c r="F131" s="11" t="inlineStr">
        <is>
          <t>Reports not built yet.</t>
        </is>
      </c>
      <c r="G131" s="11" t="inlineStr">
        <is>
          <t>None</t>
        </is>
      </c>
      <c r="H131" s="11" t="inlineStr"/>
      <c r="I131" s="11" t="inlineStr">
        <is>
          <t>Low</t>
        </is>
      </c>
      <c r="J131" s="11" t="inlineStr">
        <is>
          <t>-</t>
        </is>
      </c>
      <c r="K131" s="11" t="inlineStr">
        <is>
          <t>p.63</t>
        </is>
      </c>
    </row>
    <row r="132">
      <c r="A132" s="11" t="inlineStr">
        <is>
          <t>REQNF007</t>
        </is>
      </c>
      <c r="B132" s="11" t="inlineStr">
        <is>
          <t>Compatibility</t>
        </is>
      </c>
      <c r="C132" s="11" t="inlineStr">
        <is>
          <t>Chrome, Firefox, Edge, Safari</t>
        </is>
      </c>
      <c r="D132" s="17" t="inlineStr">
        <is>
          <t>Not verified</t>
        </is>
      </c>
      <c r="E132" s="11" t="inlineStr">
        <is>
          <t>-</t>
        </is>
      </c>
      <c r="F132" s="11" t="inlineStr">
        <is>
          <t>Not tested across browsers.</t>
        </is>
      </c>
      <c r="G132" s="11" t="inlineStr">
        <is>
          <t>Change system</t>
        </is>
      </c>
      <c r="H132" s="11" t="inlineStr">
        <is>
          <t>Test before defense.</t>
        </is>
      </c>
      <c r="I132" s="11" t="inlineStr">
        <is>
          <t>Low</t>
        </is>
      </c>
      <c r="J132" s="11" t="inlineStr">
        <is>
          <t>S</t>
        </is>
      </c>
      <c r="K132" s="11" t="inlineStr">
        <is>
          <t>p.63</t>
        </is>
      </c>
    </row>
    <row r="133">
      <c r="A133" s="11" t="inlineStr">
        <is>
          <t>REQNF008</t>
        </is>
      </c>
      <c r="B133" s="11" t="inlineStr">
        <is>
          <t>Compatibility</t>
        </is>
      </c>
      <c r="C133" s="11" t="inlineStr">
        <is>
          <t>Integrates OpenAI, EmailJS, QR PH</t>
        </is>
      </c>
      <c r="D133" s="14" t="inlineStr">
        <is>
          <t>Partial</t>
        </is>
      </c>
      <c r="E133" s="11" t="inlineStr">
        <is>
          <t>js/otp.js; js/emailjs-config.js</t>
        </is>
      </c>
      <c r="F133" s="11" t="inlineStr">
        <is>
          <t>EmailJS works; QR PH is a static image (missing, see REQ028); OpenAI not integrated.</t>
        </is>
      </c>
      <c r="G133" s="11" t="inlineStr">
        <is>
          <t>Decision needed</t>
        </is>
      </c>
      <c r="H133" s="11" t="inlineStr">
        <is>
          <t>Follows the live chat decision.</t>
        </is>
      </c>
      <c r="I133" s="11" t="inlineStr">
        <is>
          <t>Med</t>
        </is>
      </c>
      <c r="J133" s="11" t="inlineStr">
        <is>
          <t>-</t>
        </is>
      </c>
      <c r="K133" s="11" t="inlineStr">
        <is>
          <t>p.63</t>
        </is>
      </c>
    </row>
    <row r="134">
      <c r="A134" s="11" t="inlineStr">
        <is>
          <t>REQNF009</t>
        </is>
      </c>
      <c r="B134" s="11" t="inlineStr">
        <is>
          <t>Security</t>
        </is>
      </c>
      <c r="C134" s="11" t="inlineStr">
        <is>
          <t>Passwords securely hashed, never exposed</t>
        </is>
      </c>
      <c r="D134" s="13" t="inlineStr">
        <is>
          <t>Matches</t>
        </is>
      </c>
      <c r="E134" s="11" t="inlineStr">
        <is>
          <t>Firebase Auth</t>
        </is>
      </c>
      <c r="F134" s="11" t="inlineStr">
        <is>
          <t>Handled by Firebase Auth.</t>
        </is>
      </c>
      <c r="G134" s="11" t="inlineStr">
        <is>
          <t>None</t>
        </is>
      </c>
      <c r="H134" s="11" t="inlineStr"/>
      <c r="I134" s="11" t="inlineStr">
        <is>
          <t>Low</t>
        </is>
      </c>
      <c r="J134" s="11" t="inlineStr">
        <is>
          <t>-</t>
        </is>
      </c>
      <c r="K134" s="11" t="inlineStr">
        <is>
          <t>p.63</t>
        </is>
      </c>
    </row>
    <row r="135">
      <c r="A135" s="11" t="inlineStr">
        <is>
          <t>REQNF010</t>
        </is>
      </c>
      <c r="B135" s="11" t="inlineStr">
        <is>
          <t>Security</t>
        </is>
      </c>
      <c r="C135" s="11" t="inlineStr">
        <is>
          <t>Encrypted connection</t>
        </is>
      </c>
      <c r="D135" s="14" t="inlineStr">
        <is>
          <t>Partial</t>
        </is>
      </c>
      <c r="E135" s="11" t="inlineStr">
        <is>
          <t>start-server.bat (http-server)</t>
        </is>
      </c>
      <c r="F135" s="11" t="inlineStr">
        <is>
          <t>Firebase calls are HTTPS, but the site itself is served over plain HTTP locally; no hosted deployment.</t>
        </is>
      </c>
      <c r="G135" s="11" t="inlineStr">
        <is>
          <t>Decision needed</t>
        </is>
      </c>
      <c r="H135" s="11" t="inlineStr">
        <is>
          <t>Resolved by deploying (see REQNF013).</t>
        </is>
      </c>
      <c r="I135" s="11" t="inlineStr">
        <is>
          <t>Med</t>
        </is>
      </c>
      <c r="J135" s="11" t="inlineStr">
        <is>
          <t>-</t>
        </is>
      </c>
      <c r="K135" s="11" t="inlineStr">
        <is>
          <t>p.63</t>
        </is>
      </c>
    </row>
    <row r="136">
      <c r="A136" s="11" t="inlineStr">
        <is>
          <t>REQNF011</t>
        </is>
      </c>
      <c r="B136" s="11" t="inlineStr">
        <is>
          <t>Security</t>
        </is>
      </c>
      <c r="C136" s="11" t="inlineStr">
        <is>
          <t>RBAC: customers can't reach admin; each staff role limited</t>
        </is>
      </c>
      <c r="D136" s="14" t="inlineStr">
        <is>
          <t>Partial</t>
        </is>
      </c>
      <c r="E136" s="11" t="inlineStr">
        <is>
          <t>js/admin-roles.js; firestore.rules:18</t>
        </is>
      </c>
      <c r="F136" s="11" t="inlineStr">
        <is>
          <t>Pages are restricted per role in the browser, but the database rules treat every staff role the same.</t>
        </is>
      </c>
      <c r="G136" s="11" t="inlineStr">
        <is>
          <t>Change system</t>
        </is>
      </c>
      <c r="H136" s="11" t="inlineStr">
        <is>
          <t>Tighten rules for prices, staff accounts, reconciliation.</t>
        </is>
      </c>
      <c r="I136" s="11" t="inlineStr">
        <is>
          <t>Med</t>
        </is>
      </c>
      <c r="J136" s="11" t="inlineStr">
        <is>
          <t>M</t>
        </is>
      </c>
      <c r="K136" s="11" t="inlineStr">
        <is>
          <t>p.63</t>
        </is>
      </c>
    </row>
    <row r="137">
      <c r="A137" s="11" t="inlineStr">
        <is>
          <t>REQNF012</t>
        </is>
      </c>
      <c r="B137" s="11" t="inlineStr">
        <is>
          <t>Security</t>
        </is>
      </c>
      <c r="C137" s="11" t="inlineStr">
        <is>
          <t>No patient data sent to OpenAI</t>
        </is>
      </c>
      <c r="D137" s="18" t="inlineStr">
        <is>
          <t>N/A</t>
        </is>
      </c>
      <c r="E137" s="11" t="inlineStr">
        <is>
          <t>-</t>
        </is>
      </c>
      <c r="F137" s="11" t="inlineStr">
        <is>
          <t>No AI chat yet.</t>
        </is>
      </c>
      <c r="G137" s="11" t="inlineStr">
        <is>
          <t>None</t>
        </is>
      </c>
      <c r="H137" s="11" t="inlineStr">
        <is>
          <t>Applies only if chat is built.</t>
        </is>
      </c>
      <c r="I137" s="11" t="inlineStr">
        <is>
          <t>Low</t>
        </is>
      </c>
      <c r="J137" s="11" t="inlineStr">
        <is>
          <t>-</t>
        </is>
      </c>
      <c r="K137" s="11" t="inlineStr">
        <is>
          <t>p.63</t>
        </is>
      </c>
    </row>
    <row r="138">
      <c r="A138" s="11" t="inlineStr">
        <is>
          <t>REQNF013</t>
        </is>
      </c>
      <c r="B138" s="11" t="inlineStr">
        <is>
          <t>Reliability</t>
        </is>
      </c>
      <c r="C138" s="11" t="inlineStr">
        <is>
          <t>Hosted with uptime + recovery</t>
        </is>
      </c>
      <c r="D138" s="15" t="inlineStr">
        <is>
          <t>Missing</t>
        </is>
      </c>
      <c r="E138" s="11" t="inlineStr">
        <is>
          <t>-</t>
        </is>
      </c>
      <c r="F138" s="11" t="inlineStr">
        <is>
          <t>Not hosted (Netlify blocked by billing); runs locally via http-server.</t>
        </is>
      </c>
      <c r="G138" s="11" t="inlineStr">
        <is>
          <t>Decision needed</t>
        </is>
      </c>
      <c r="H138" s="11" t="inlineStr">
        <is>
          <t>Firebase Hosting (free, HTTPS) is an option; otherwise move hosting to Limitations.</t>
        </is>
      </c>
      <c r="I138" s="11" t="inlineStr">
        <is>
          <t>Med</t>
        </is>
      </c>
      <c r="J138" s="11" t="inlineStr">
        <is>
          <t>S</t>
        </is>
      </c>
      <c r="K138" s="11" t="inlineStr">
        <is>
          <t>p.64</t>
        </is>
      </c>
    </row>
    <row r="139">
      <c r="A139" s="11" t="inlineStr">
        <is>
          <t>REQNF014</t>
        </is>
      </c>
      <c r="B139" s="11" t="inlineStr">
        <is>
          <t>Reliability</t>
        </is>
      </c>
      <c r="C139" s="11" t="inlineStr">
        <is>
          <t>Descriptive error messages</t>
        </is>
      </c>
      <c r="D139" s="13" t="inlineStr">
        <is>
          <t>Matches</t>
        </is>
      </c>
      <c r="E139" s="11" t="inlineStr">
        <is>
          <t>js/*</t>
        </is>
      </c>
      <c r="F139" s="11" t="inlineStr">
        <is>
          <t>-</t>
        </is>
      </c>
      <c r="G139" s="11" t="inlineStr">
        <is>
          <t>None</t>
        </is>
      </c>
      <c r="H139" s="11" t="inlineStr"/>
      <c r="I139" s="11" t="inlineStr">
        <is>
          <t>Low</t>
        </is>
      </c>
      <c r="J139" s="11" t="inlineStr">
        <is>
          <t>-</t>
        </is>
      </c>
      <c r="K139" s="11" t="inlineStr">
        <is>
          <t>p.64</t>
        </is>
      </c>
    </row>
    <row r="140">
      <c r="A140" s="11" t="inlineStr">
        <is>
          <t>REQNF015</t>
        </is>
      </c>
      <c r="B140" s="11" t="inlineStr">
        <is>
          <t>Scalability</t>
        </is>
      </c>
      <c r="C140" s="11" t="inlineStr">
        <is>
          <t>Supports growth without structural change</t>
        </is>
      </c>
      <c r="D140" s="13" t="inlineStr">
        <is>
          <t>Matches</t>
        </is>
      </c>
      <c r="E140" s="11" t="inlineStr">
        <is>
          <t>Firestore</t>
        </is>
      </c>
      <c r="F140" s="11" t="inlineStr">
        <is>
          <t>-</t>
        </is>
      </c>
      <c r="G140" s="11" t="inlineStr">
        <is>
          <t>None</t>
        </is>
      </c>
      <c r="H140" s="11" t="inlineStr"/>
      <c r="I140" s="11" t="inlineStr">
        <is>
          <t>Low</t>
        </is>
      </c>
      <c r="J140" s="11" t="inlineStr">
        <is>
          <t>-</t>
        </is>
      </c>
      <c r="K140" s="11" t="inlineStr">
        <is>
          <t>p.64</t>
        </is>
      </c>
    </row>
    <row r="141">
      <c r="A141" s="11" t="inlineStr">
        <is>
          <t>REQNF016</t>
        </is>
      </c>
      <c r="B141" s="11" t="inlineStr">
        <is>
          <t>Scalability</t>
        </is>
      </c>
      <c r="C141" s="11" t="inlineStr">
        <is>
          <t>New branches addable later</t>
        </is>
      </c>
      <c r="D141" s="13" t="inlineStr">
        <is>
          <t>Matches</t>
        </is>
      </c>
      <c r="E141" s="11" t="inlineStr">
        <is>
          <t>-</t>
        </is>
      </c>
      <c r="F141" s="11" t="inlineStr">
        <is>
          <t>Single-branch by design (Limitations).</t>
        </is>
      </c>
      <c r="G141" s="11" t="inlineStr">
        <is>
          <t>None</t>
        </is>
      </c>
      <c r="H141" s="11" t="inlineStr"/>
      <c r="I141" s="11" t="inlineStr">
        <is>
          <t>Low</t>
        </is>
      </c>
      <c r="J141" s="11" t="inlineStr">
        <is>
          <t>-</t>
        </is>
      </c>
      <c r="K141" s="11" t="inlineStr">
        <is>
          <t>p.64</t>
        </is>
      </c>
    </row>
    <row r="142">
      <c r="A142" s="11" t="inlineStr">
        <is>
          <t>REQNF017</t>
        </is>
      </c>
      <c r="B142" s="11" t="inlineStr">
        <is>
          <t>Maintainability</t>
        </is>
      </c>
      <c r="C142" s="11" t="inlineStr">
        <is>
          <t>Modular code with documentation</t>
        </is>
      </c>
      <c r="D142" s="13" t="inlineStr">
        <is>
          <t>Matches</t>
        </is>
      </c>
      <c r="E142" s="11" t="inlineStr">
        <is>
          <t>js/*</t>
        </is>
      </c>
      <c r="F142" s="11" t="inlineStr">
        <is>
          <t>77336f3: README with setup, services, rules publishing, roles and deployment. (was: Modular, but no README or setup documentation (an error message even points to a missing README.md).)</t>
        </is>
      </c>
      <c r="G142" s="11" t="inlineStr">
        <is>
          <t>None</t>
        </is>
      </c>
      <c r="H142" s="11" t="inlineStr">
        <is>
          <t>Write a README.</t>
        </is>
      </c>
      <c r="I142" s="11" t="inlineStr">
        <is>
          <t>Low</t>
        </is>
      </c>
      <c r="J142" s="11" t="inlineStr">
        <is>
          <t>S</t>
        </is>
      </c>
      <c r="K142" s="11" t="inlineStr">
        <is>
          <t>p.64</t>
        </is>
      </c>
    </row>
    <row r="143">
      <c r="A143" s="11" t="inlineStr">
        <is>
          <t>REQNF018</t>
        </is>
      </c>
      <c r="B143" s="11" t="inlineStr">
        <is>
          <t>Maintainability</t>
        </is>
      </c>
      <c r="C143" s="11" t="inlineStr">
        <is>
          <t>Admins manage products/users/inventory without a developer</t>
        </is>
      </c>
      <c r="D143" s="13" t="inlineStr">
        <is>
          <t>Matches</t>
        </is>
      </c>
      <c r="E143" s="11" t="inlineStr">
        <is>
          <t>admin/*</t>
        </is>
      </c>
      <c r="F143" s="11" t="inlineStr">
        <is>
          <t>-</t>
        </is>
      </c>
      <c r="G143" s="11" t="inlineStr">
        <is>
          <t>None</t>
        </is>
      </c>
      <c r="H143" s="11" t="inlineStr"/>
      <c r="I143" s="11" t="inlineStr">
        <is>
          <t>Low</t>
        </is>
      </c>
      <c r="J143" s="11" t="inlineStr">
        <is>
          <t>-</t>
        </is>
      </c>
      <c r="K143" s="11" t="inlineStr">
        <is>
          <t>p.64</t>
        </is>
      </c>
    </row>
    <row r="144">
      <c r="A144" s="11" t="inlineStr">
        <is>
          <t>REQNF019</t>
        </is>
      </c>
      <c r="B144" s="11" t="inlineStr">
        <is>
          <t>Portability</t>
        </is>
      </c>
      <c r="C144" s="11" t="inlineStr">
        <is>
          <t>Deployable elsewhere without restructuring</t>
        </is>
      </c>
      <c r="D144" s="13" t="inlineStr">
        <is>
          <t>Matches</t>
        </is>
      </c>
      <c r="E144" s="11" t="inlineStr">
        <is>
          <t>static site</t>
        </is>
      </c>
      <c r="F144" s="11" t="inlineStr">
        <is>
          <t>-</t>
        </is>
      </c>
      <c r="G144" s="11" t="inlineStr">
        <is>
          <t>None</t>
        </is>
      </c>
      <c r="H144" s="11" t="inlineStr"/>
      <c r="I144" s="11" t="inlineStr">
        <is>
          <t>Low</t>
        </is>
      </c>
      <c r="J144" s="11" t="inlineStr">
        <is>
          <t>-</t>
        </is>
      </c>
      <c r="K144" s="11" t="inlineStr">
        <is>
          <t>p.65</t>
        </is>
      </c>
    </row>
    <row r="145">
      <c r="A145" s="11" t="inlineStr">
        <is>
          <t>REQNF020</t>
        </is>
      </c>
      <c r="B145" s="11" t="inlineStr">
        <is>
          <t>Portability</t>
        </is>
      </c>
      <c r="C145" s="11" t="inlineStr">
        <is>
          <t>Data export in PDF and Excel</t>
        </is>
      </c>
      <c r="D145" s="14" t="inlineStr">
        <is>
          <t>Partial</t>
        </is>
      </c>
      <c r="E145" s="11" t="inlineStr">
        <is>
          <t>js/admin-dashboard.js:471</t>
        </is>
      </c>
      <c r="F145" s="11" t="inlineStr">
        <is>
          <t>aece0e7: every Export button offers PDF or Excel. (was: Only Sales Analytics exports.)</t>
        </is>
      </c>
      <c r="G145" s="11" t="inlineStr">
        <is>
          <t>Change system</t>
        </is>
      </c>
      <c r="H145" s="11" t="inlineStr">
        <is>
          <t>Comes with the Reports module.</t>
        </is>
      </c>
      <c r="I145" s="11" t="inlineStr">
        <is>
          <t>High</t>
        </is>
      </c>
      <c r="J145" s="11" t="inlineStr">
        <is>
          <t>-</t>
        </is>
      </c>
      <c r="K145" s="11" t="inlineStr">
        <is>
          <t>p.65</t>
        </is>
      </c>
    </row>
    <row r="146">
      <c r="A146" s="11" t="inlineStr">
        <is>
          <t>REQNF021</t>
        </is>
      </c>
      <c r="B146" s="11" t="inlineStr">
        <is>
          <t>Accessibility</t>
        </is>
      </c>
      <c r="C146" s="11" t="inlineStr">
        <is>
          <t>Usable with basic digital literacy</t>
        </is>
      </c>
      <c r="D146" s="17" t="inlineStr">
        <is>
          <t>Not verified</t>
        </is>
      </c>
      <c r="E146" s="11" t="inlineStr">
        <is>
          <t>-</t>
        </is>
      </c>
      <c r="F146" s="11" t="inlineStr">
        <is>
          <t>To be confirmed in the TAM evaluation.</t>
        </is>
      </c>
      <c r="G146" s="11" t="inlineStr">
        <is>
          <t>None</t>
        </is>
      </c>
      <c r="H146" s="11" t="inlineStr"/>
      <c r="I146" s="11" t="inlineStr">
        <is>
          <t>Low</t>
        </is>
      </c>
      <c r="J146" s="11" t="inlineStr">
        <is>
          <t>-</t>
        </is>
      </c>
      <c r="K146" s="11" t="inlineStr">
        <is>
          <t>p.65</t>
        </is>
      </c>
    </row>
    <row r="147">
      <c r="A147" s="11" t="inlineStr">
        <is>
          <t>REQNF022</t>
        </is>
      </c>
      <c r="B147" s="11" t="inlineStr">
        <is>
          <t>Accessibility</t>
        </is>
      </c>
      <c r="C147" s="11" t="inlineStr">
        <is>
          <t>Any modern browser, no install</t>
        </is>
      </c>
      <c r="D147" s="13" t="inlineStr">
        <is>
          <t>Matches</t>
        </is>
      </c>
      <c r="E147" s="11" t="inlineStr">
        <is>
          <t>-</t>
        </is>
      </c>
      <c r="F147" s="11" t="inlineStr">
        <is>
          <t>-</t>
        </is>
      </c>
      <c r="G147" s="11" t="inlineStr">
        <is>
          <t>None</t>
        </is>
      </c>
      <c r="H147" s="11" t="inlineStr"/>
      <c r="I147" s="11" t="inlineStr">
        <is>
          <t>Low</t>
        </is>
      </c>
      <c r="J147" s="11" t="inlineStr">
        <is>
          <t>-</t>
        </is>
      </c>
      <c r="K147" s="11" t="inlineStr">
        <is>
          <t>p.65</t>
        </is>
      </c>
    </row>
    <row r="148">
      <c r="A148" s="11" t="inlineStr">
        <is>
          <t>REQNF023</t>
        </is>
      </c>
      <c r="B148" s="11" t="inlineStr">
        <is>
          <t>Adaptability</t>
        </is>
      </c>
      <c r="C148" s="11" t="inlineStr">
        <is>
          <t>New features without rebuild</t>
        </is>
      </c>
      <c r="D148" s="13" t="inlineStr">
        <is>
          <t>Matches</t>
        </is>
      </c>
      <c r="E148" s="11" t="inlineStr">
        <is>
          <t>-</t>
        </is>
      </c>
      <c r="F148" s="11" t="inlineStr">
        <is>
          <t>-</t>
        </is>
      </c>
      <c r="G148" s="11" t="inlineStr">
        <is>
          <t>None</t>
        </is>
      </c>
      <c r="H148" s="11" t="inlineStr"/>
      <c r="I148" s="11" t="inlineStr">
        <is>
          <t>Low</t>
        </is>
      </c>
      <c r="J148" s="11" t="inlineStr">
        <is>
          <t>-</t>
        </is>
      </c>
      <c r="K148" s="11" t="inlineStr">
        <is>
          <t>p.65</t>
        </is>
      </c>
    </row>
    <row r="149">
      <c r="A149" s="11" t="inlineStr">
        <is>
          <t>REQNF024</t>
        </is>
      </c>
      <c r="B149" s="11" t="inlineStr">
        <is>
          <t>Adaptability</t>
        </is>
      </c>
      <c r="C149" s="11" t="inlineStr">
        <is>
          <t>Future courier/payment/SMS integration</t>
        </is>
      </c>
      <c r="D149" s="13" t="inlineStr">
        <is>
          <t>Matches</t>
        </is>
      </c>
      <c r="E149" s="11" t="inlineStr">
        <is>
          <t>-</t>
        </is>
      </c>
      <c r="F149" s="11" t="inlineStr">
        <is>
          <t>-</t>
        </is>
      </c>
      <c r="G149" s="11" t="inlineStr">
        <is>
          <t>None</t>
        </is>
      </c>
      <c r="H149" s="11" t="inlineStr"/>
      <c r="I149" s="11" t="inlineStr">
        <is>
          <t>Low</t>
        </is>
      </c>
      <c r="J149" s="11" t="inlineStr">
        <is>
          <t>-</t>
        </is>
      </c>
      <c r="K149" s="11" t="inlineStr">
        <is>
          <t>p.65</t>
        </is>
      </c>
    </row>
    <row r="150">
      <c r="A150" s="11" t="inlineStr">
        <is>
          <t>REQNF025</t>
        </is>
      </c>
      <c r="B150" s="11" t="inlineStr">
        <is>
          <t>Compliance</t>
        </is>
      </c>
      <c r="C150" s="11" t="inlineStr">
        <is>
          <t>Data Privacy Act 2012</t>
        </is>
      </c>
      <c r="D150" s="13" t="inlineStr">
        <is>
          <t>Matches</t>
        </is>
      </c>
      <c r="E150" s="11" t="inlineStr">
        <is>
          <t>footer links href='#'</t>
        </is>
      </c>
      <c r="F150" s="11" t="inlineStr">
        <is>
          <t>Privacy Policy rewritten for the Data Privacy Act and linked from every footer (client to review). (was: Terms/Privacy shown at registration, but footer Privacy Policy and Terms links go nowhere.)</t>
        </is>
      </c>
      <c r="G150" s="11" t="inlineStr">
        <is>
          <t>None</t>
        </is>
      </c>
      <c r="H150" s="11" t="inlineStr">
        <is>
          <t>Point footer links to the existing legal text.</t>
        </is>
      </c>
      <c r="I150" s="11" t="inlineStr">
        <is>
          <t>Med</t>
        </is>
      </c>
      <c r="J150" s="11" t="inlineStr">
        <is>
          <t>S</t>
        </is>
      </c>
      <c r="K150" s="11" t="inlineStr">
        <is>
          <t>p.65</t>
        </is>
      </c>
    </row>
    <row r="151">
      <c r="A151" s="11" t="inlineStr">
        <is>
          <t>REQNF026</t>
        </is>
      </c>
      <c r="B151" s="11" t="inlineStr">
        <is>
          <t>Cultural</t>
        </is>
      </c>
      <c r="C151" s="11" t="inlineStr">
        <is>
          <t>English throughout</t>
        </is>
      </c>
      <c r="D151" s="13" t="inlineStr">
        <is>
          <t>Matches</t>
        </is>
      </c>
      <c r="E151" s="11" t="inlineStr">
        <is>
          <t>-</t>
        </is>
      </c>
      <c r="F151" s="11" t="inlineStr">
        <is>
          <t>-</t>
        </is>
      </c>
      <c r="G151" s="11" t="inlineStr">
        <is>
          <t>None</t>
        </is>
      </c>
      <c r="H151" s="11" t="inlineStr"/>
      <c r="I151" s="11" t="inlineStr">
        <is>
          <t>Low</t>
        </is>
      </c>
      <c r="J151" s="11" t="inlineStr">
        <is>
          <t>-</t>
        </is>
      </c>
      <c r="K151" s="11" t="inlineStr">
        <is>
          <t>p.66</t>
        </is>
      </c>
    </row>
    <row r="152">
      <c r="A152" s="11" t="inlineStr">
        <is>
          <t>REQNF027</t>
        </is>
      </c>
      <c r="B152" s="11" t="inlineStr">
        <is>
          <t>Cultural</t>
        </is>
      </c>
      <c r="C152" s="11" t="inlineStr">
        <is>
          <t>Peso with 2 decimals and commas</t>
        </is>
      </c>
      <c r="D152" s="13" t="inlineStr">
        <is>
          <t>Matches</t>
        </is>
      </c>
      <c r="E152" s="11" t="inlineStr">
        <is>
          <t>js/products-data.js (formatPeso)</t>
        </is>
      </c>
      <c r="F152" s="11" t="inlineStr">
        <is>
          <t>-</t>
        </is>
      </c>
      <c r="G152" s="11" t="inlineStr">
        <is>
          <t>None</t>
        </is>
      </c>
      <c r="H152" s="11" t="inlineStr"/>
      <c r="I152" s="11" t="inlineStr">
        <is>
          <t>Low</t>
        </is>
      </c>
      <c r="J152" s="11" t="inlineStr">
        <is>
          <t>-</t>
        </is>
      </c>
      <c r="K152" s="11" t="inlineStr">
        <is>
          <t>p.66</t>
        </is>
      </c>
    </row>
    <row r="153">
      <c r="A153" s="11" t="inlineStr">
        <is>
          <t>REQNF028</t>
        </is>
      </c>
      <c r="B153" s="11" t="inlineStr">
        <is>
          <t>Cultural</t>
        </is>
      </c>
      <c r="C153" s="11" t="inlineStr">
        <is>
          <t>Dates MM/DD/YYYY, 12-hour AM/PM</t>
        </is>
      </c>
      <c r="D153" s="13" t="inlineStr">
        <is>
          <t>Matches</t>
        </is>
      </c>
      <c r="E153" s="11" t="inlineStr">
        <is>
          <t>js/admin-inventory.js:210; js/admin-audit-log.js:63</t>
        </is>
      </c>
      <c r="F153" s="11" t="inlineStr">
        <is>
          <t>847c877: one MM/DD/YYYY + 12-hour formatter on every screen, receipt and export. (was: Several screens use 'Oct 18, 2026' or 'October 2026'; the audit log uses a 2-digit hour.)</t>
        </is>
      </c>
      <c r="G153" s="11" t="inlineStr">
        <is>
          <t>None</t>
        </is>
      </c>
      <c r="H153" s="11" t="inlineStr">
        <is>
          <t>Small: one shared date formatter.</t>
        </is>
      </c>
      <c r="I153" s="11" t="inlineStr">
        <is>
          <t>Low</t>
        </is>
      </c>
      <c r="J153" s="11" t="inlineStr">
        <is>
          <t>S</t>
        </is>
      </c>
      <c r="K153" s="11" t="inlineStr">
        <is>
          <t>p.66</t>
        </is>
      </c>
    </row>
    <row r="154">
      <c r="A154" s="11" t="inlineStr">
        <is>
          <t>REQNF029</t>
        </is>
      </c>
      <c r="B154" s="11" t="inlineStr">
        <is>
          <t>Cultural</t>
        </is>
      </c>
      <c r="C154" s="11" t="inlineStr">
        <is>
          <t>Clear, professional language</t>
        </is>
      </c>
      <c r="D154" s="13" t="inlineStr">
        <is>
          <t>Matches</t>
        </is>
      </c>
      <c r="E154" s="11" t="inlineStr">
        <is>
          <t>shop/*.html footer</t>
        </is>
      </c>
      <c r="F154" s="11" t="inlineStr">
        <is>
          <t>Filler text removed from the footer. (was: Footer says 'Amson about description sample text'.)</t>
        </is>
      </c>
      <c r="G154" s="11" t="inlineStr">
        <is>
          <t>None</t>
        </is>
      </c>
      <c r="H154" s="11" t="inlineStr">
        <is>
          <t>Copy fix.</t>
        </is>
      </c>
      <c r="I154" s="11" t="inlineStr">
        <is>
          <t>Med</t>
        </is>
      </c>
      <c r="J154" s="11" t="inlineStr">
        <is>
          <t>S</t>
        </is>
      </c>
      <c r="K154" s="11" t="inlineStr">
        <is>
          <t>p.66</t>
        </is>
      </c>
    </row>
  </sheetData>
  <autoFilter ref="A1:K154"/>
  <dataValidations count="2">
    <dataValidation sqref="D2:D154" showDropDown="0" showInputMessage="0" showErrorMessage="0" allowBlank="1" type="list">
      <formula1>"Matches,Partial,Deviates,Missing,Not verified,N/A"</formula1>
    </dataValidation>
    <dataValidation sqref="G2:G154" showDropDown="0" showInputMessage="0" showErrorMessage="0" allowBlank="1" type="list">
      <formula1>"Change system,Change paper,System + paper,Move to Limitations,Decision needed,None"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26" customWidth="1" min="3" max="3"/>
    <col width="12" customWidth="1" min="4" max="4"/>
    <col width="20" customWidth="1" min="5" max="5"/>
    <col width="60" customWidth="1" min="6" max="6"/>
  </cols>
  <sheetData>
    <row r="1">
      <c r="A1" s="10" t="inlineStr">
        <is>
          <t>Figure</t>
        </is>
      </c>
      <c r="B1" s="10" t="inlineStr">
        <is>
          <t>Use case</t>
        </is>
      </c>
      <c r="C1" s="10" t="inlineStr">
        <is>
          <t>Actor(s)</t>
        </is>
      </c>
      <c r="D1" s="10" t="inlineStr">
        <is>
          <t>Status</t>
        </is>
      </c>
      <c r="E1" s="10" t="inlineStr">
        <is>
          <t>Maps to</t>
        </is>
      </c>
      <c r="F1" s="10" t="inlineStr">
        <is>
          <t>Notes</t>
        </is>
      </c>
    </row>
    <row r="2">
      <c r="A2" s="11" t="inlineStr">
        <is>
          <t>2.2</t>
        </is>
      </c>
      <c r="B2" s="11" t="inlineStr">
        <is>
          <t>Browse Product Catalog</t>
        </is>
      </c>
      <c r="C2" s="11" t="inlineStr">
        <is>
          <t>Guest, Sales Staff</t>
        </is>
      </c>
      <c r="D2" s="13" t="inlineStr">
        <is>
          <t>Matches</t>
        </is>
      </c>
      <c r="E2" s="11" t="inlineStr">
        <is>
          <t>REQ009</t>
        </is>
      </c>
      <c r="F2" s="11" t="inlineStr">
        <is>
          <t>Sales Staff can browse the admin Products page.</t>
        </is>
      </c>
    </row>
    <row r="3">
      <c r="A3" s="11" t="inlineStr">
        <is>
          <t>2.2</t>
        </is>
      </c>
      <c r="B3" s="11" t="inlineStr">
        <is>
          <t>View Product Details</t>
        </is>
      </c>
      <c r="C3" s="11" t="inlineStr">
        <is>
          <t>Guest</t>
        </is>
      </c>
      <c r="D3" s="13" t="inlineStr">
        <is>
          <t>Matches</t>
        </is>
      </c>
      <c r="E3" s="11" t="inlineStr">
        <is>
          <t>REQ013</t>
        </is>
      </c>
      <c r="F3" s="11" t="inlineStr">
        <is>
          <t>Dosage notes missing.</t>
        </is>
      </c>
    </row>
    <row r="4">
      <c r="A4" s="11" t="inlineStr">
        <is>
          <t>2.2</t>
        </is>
      </c>
      <c r="B4" s="11" t="inlineStr">
        <is>
          <t>Filter and Search Products</t>
        </is>
      </c>
      <c r="C4" s="11" t="inlineStr">
        <is>
          <t>Guest</t>
        </is>
      </c>
      <c r="D4" s="13" t="inlineStr">
        <is>
          <t>Matches</t>
        </is>
      </c>
      <c r="E4" s="11" t="inlineStr">
        <is>
          <t>REQ010-012</t>
        </is>
      </c>
      <c r="F4" s="11" t="inlineStr">
        <is>
          <t>Header search + price/stock filters.</t>
        </is>
      </c>
    </row>
    <row r="5">
      <c r="A5" s="11" t="inlineStr">
        <is>
          <t>2.2</t>
        </is>
      </c>
      <c r="B5" s="11" t="inlineStr">
        <is>
          <t>Register Account</t>
        </is>
      </c>
      <c r="C5" s="11" t="inlineStr">
        <is>
          <t>Guest</t>
        </is>
      </c>
      <c r="D5" s="13" t="inlineStr">
        <is>
          <t>Matches</t>
        </is>
      </c>
      <c r="E5" s="11" t="inlineStr">
        <is>
          <t>REQ001-006</t>
        </is>
      </c>
      <c r="F5" s="11" t="inlineStr"/>
    </row>
    <row r="6">
      <c r="A6" s="11" t="inlineStr">
        <is>
          <t>2.2</t>
        </is>
      </c>
      <c r="B6" s="11" t="inlineStr">
        <is>
          <t>Access Live Chat</t>
        </is>
      </c>
      <c r="C6" s="11" t="inlineStr">
        <is>
          <t>Guest</t>
        </is>
      </c>
      <c r="D6" s="15" t="inlineStr">
        <is>
          <t>Missing</t>
        </is>
      </c>
      <c r="E6" s="11" t="inlineStr">
        <is>
          <t>REQ035-037</t>
        </is>
      </c>
      <c r="F6" s="11" t="inlineStr">
        <is>
          <t>Dead buttons.</t>
        </is>
      </c>
    </row>
    <row r="7">
      <c r="A7" s="11" t="inlineStr">
        <is>
          <t>2.2</t>
        </is>
      </c>
      <c r="B7" s="11" t="inlineStr">
        <is>
          <t>Manage Live Chat</t>
        </is>
      </c>
      <c r="C7" s="11" t="inlineStr">
        <is>
          <t>(no actor connected)</t>
        </is>
      </c>
      <c r="D7" s="15" t="inlineStr">
        <is>
          <t>Missing</t>
        </is>
      </c>
      <c r="E7" s="11" t="inlineStr">
        <is>
          <t>REQ108-110</t>
        </is>
      </c>
      <c r="F7" s="11" t="inlineStr">
        <is>
          <t>Paper: bubble has no actor line in the overall diagram.</t>
        </is>
      </c>
    </row>
    <row r="8">
      <c r="A8" s="11" t="inlineStr">
        <is>
          <t>2.2</t>
        </is>
      </c>
      <c r="B8" s="11" t="inlineStr">
        <is>
          <t>Process Walk-in Purchase</t>
        </is>
      </c>
      <c r="C8" s="11" t="inlineStr">
        <is>
          <t>Sales Staff, Technical Staff</t>
        </is>
      </c>
      <c r="D8" s="13" t="inlineStr">
        <is>
          <t>Matches</t>
        </is>
      </c>
      <c r="E8" s="11" t="inlineStr">
        <is>
          <t>REQ082</t>
        </is>
      </c>
      <c r="F8" s="11" t="inlineStr"/>
    </row>
    <row r="9">
      <c r="A9" s="11" t="inlineStr">
        <is>
          <t>2.2</t>
        </is>
      </c>
      <c r="B9" s="11" t="inlineStr">
        <is>
          <t>Login to Account</t>
        </is>
      </c>
      <c r="C9" s="11" t="inlineStr">
        <is>
          <t>Sales, Technical, Registered User</t>
        </is>
      </c>
      <c r="D9" s="14" t="inlineStr">
        <is>
          <t>Partial</t>
        </is>
      </c>
      <c r="E9" s="11" t="inlineStr">
        <is>
          <t>REQ004-005, 043-045</t>
        </is>
      </c>
      <c r="F9" s="11" t="inlineStr">
        <is>
          <t>No unrecognized-device OTP.</t>
        </is>
      </c>
    </row>
    <row r="10">
      <c r="A10" s="11" t="inlineStr">
        <is>
          <t>2.2</t>
        </is>
      </c>
      <c r="B10" s="11" t="inlineStr">
        <is>
          <t>Update Account Settings</t>
        </is>
      </c>
      <c r="C10" s="11" t="inlineStr">
        <is>
          <t>Sales, Technical, Registered User</t>
        </is>
      </c>
      <c r="D10" s="13" t="inlineStr">
        <is>
          <t>Matches</t>
        </is>
      </c>
      <c r="E10" s="11" t="inlineStr">
        <is>
          <t>REQ040-041</t>
        </is>
      </c>
      <c r="F10" s="11" t="inlineStr">
        <is>
          <t>No profile picture or email toggle.</t>
        </is>
      </c>
    </row>
    <row r="11">
      <c r="A11" s="11" t="inlineStr">
        <is>
          <t>2.2</t>
        </is>
      </c>
      <c r="B11" s="11" t="inlineStr">
        <is>
          <t>Manage Inventory</t>
        </is>
      </c>
      <c r="C11" s="11" t="inlineStr">
        <is>
          <t>Technical Staff</t>
        </is>
      </c>
      <c r="D11" s="13" t="inlineStr">
        <is>
          <t>Matches</t>
        </is>
      </c>
      <c r="E11" s="11" t="inlineStr">
        <is>
          <t>REQ049-052</t>
        </is>
      </c>
      <c r="F11" s="11" t="inlineStr"/>
    </row>
    <row r="12">
      <c r="A12" s="11" t="inlineStr">
        <is>
          <t>2.2</t>
        </is>
      </c>
      <c r="B12" s="11" t="inlineStr">
        <is>
          <t>Manage Online Order Queue</t>
        </is>
      </c>
      <c r="C12" s="11" t="inlineStr">
        <is>
          <t>Technical Staff</t>
        </is>
      </c>
      <c r="D12" s="13" t="inlineStr">
        <is>
          <t>Matches</t>
        </is>
      </c>
      <c r="E12" s="11" t="inlineStr">
        <is>
          <t>REQ074-076</t>
        </is>
      </c>
      <c r="F12" s="11" t="inlineStr"/>
    </row>
    <row r="13">
      <c r="A13" s="11" t="inlineStr">
        <is>
          <t>2.2</t>
        </is>
      </c>
      <c r="B13" s="11" t="inlineStr">
        <is>
          <t>Manage Product Catalog</t>
        </is>
      </c>
      <c r="C13" s="11" t="inlineStr">
        <is>
          <t>Technical Staff</t>
        </is>
      </c>
      <c r="D13" s="13" t="inlineStr">
        <is>
          <t>Matches</t>
        </is>
      </c>
      <c r="E13" s="11" t="inlineStr">
        <is>
          <t>REQ068-070</t>
        </is>
      </c>
      <c r="F13" s="11" t="inlineStr"/>
    </row>
    <row r="14">
      <c r="A14" s="11" t="inlineStr">
        <is>
          <t>2.2</t>
        </is>
      </c>
      <c r="B14" s="11" t="inlineStr">
        <is>
          <t>Manage Wholesale Accounts</t>
        </is>
      </c>
      <c r="C14" s="11" t="inlineStr">
        <is>
          <t>Technical Staff</t>
        </is>
      </c>
      <c r="D14" s="13" t="inlineStr">
        <is>
          <t>Matches</t>
        </is>
      </c>
      <c r="E14" s="11" t="inlineStr">
        <is>
          <t>REQ085-086</t>
        </is>
      </c>
      <c r="F14" s="11" t="inlineStr"/>
    </row>
    <row r="15">
      <c r="A15" s="11" t="inlineStr">
        <is>
          <t>2.2</t>
        </is>
      </c>
      <c r="B15" s="11" t="inlineStr">
        <is>
          <t>Process Wholesale Purchase</t>
        </is>
      </c>
      <c r="C15" s="11" t="inlineStr">
        <is>
          <t>Technical Staff</t>
        </is>
      </c>
      <c r="D15" s="13" t="inlineStr">
        <is>
          <t>Matches</t>
        </is>
      </c>
      <c r="E15" s="11" t="inlineStr">
        <is>
          <t>REQ087</t>
        </is>
      </c>
      <c r="F15" s="11" t="inlineStr"/>
    </row>
    <row r="16">
      <c r="A16" s="11" t="inlineStr">
        <is>
          <t>2.2</t>
        </is>
      </c>
      <c r="B16" s="11" t="inlineStr">
        <is>
          <t>Generate Reports</t>
        </is>
      </c>
      <c r="C16" s="11" t="inlineStr">
        <is>
          <t>Technical Staff</t>
        </is>
      </c>
      <c r="D16" s="14" t="inlineStr">
        <is>
          <t>Partial</t>
        </is>
      </c>
      <c r="E16" s="11" t="inlineStr">
        <is>
          <t>REQ111-115</t>
        </is>
      </c>
      <c r="F16" s="11" t="inlineStr">
        <is>
          <t>aece0e7: exports are real PDF/Excel; client report formats still to build.</t>
        </is>
      </c>
    </row>
    <row r="17">
      <c r="A17" s="11" t="inlineStr">
        <is>
          <t>2.2</t>
        </is>
      </c>
      <c r="B17" s="11" t="inlineStr">
        <is>
          <t>Receive Supplier Delivery</t>
        </is>
      </c>
      <c r="C17" s="11" t="inlineStr">
        <is>
          <t>Technical Staff</t>
        </is>
      </c>
      <c r="D17" s="13" t="inlineStr">
        <is>
          <t>Matches</t>
        </is>
      </c>
      <c r="E17" s="11" t="inlineStr">
        <is>
          <t>REQ062-063</t>
        </is>
      </c>
      <c r="F17" s="11" t="inlineStr"/>
    </row>
    <row r="18">
      <c r="A18" s="11" t="inlineStr">
        <is>
          <t>2.2</t>
        </is>
      </c>
      <c r="B18" s="11" t="inlineStr">
        <is>
          <t>Month-End Stock Reconciliation</t>
        </is>
      </c>
      <c r="C18" s="11" t="inlineStr">
        <is>
          <t>Technical Staff</t>
        </is>
      </c>
      <c r="D18" s="13" t="inlineStr">
        <is>
          <t>Matches</t>
        </is>
      </c>
      <c r="E18" s="11" t="inlineStr">
        <is>
          <t>REQ059-061</t>
        </is>
      </c>
      <c r="F18" s="11" t="inlineStr">
        <is>
          <t>06574da: BM finalizes; variance reason logged.</t>
        </is>
      </c>
    </row>
    <row r="19">
      <c r="A19" s="11" t="inlineStr">
        <is>
          <t>2.2</t>
        </is>
      </c>
      <c r="B19" s="11" t="inlineStr">
        <is>
          <t>View Audit Log</t>
        </is>
      </c>
      <c r="C19" s="11" t="inlineStr">
        <is>
          <t>Technical Staff</t>
        </is>
      </c>
      <c r="D19" s="13" t="inlineStr">
        <is>
          <t>Matches</t>
        </is>
      </c>
      <c r="E19" s="11" t="inlineStr">
        <is>
          <t>REQ123</t>
        </is>
      </c>
      <c r="F19" s="11" t="inlineStr">
        <is>
          <t>Overall diagram text implies BM-only - see C6.</t>
        </is>
      </c>
    </row>
    <row r="20">
      <c r="A20" s="11" t="inlineStr">
        <is>
          <t>2.2</t>
        </is>
      </c>
      <c r="B20" s="11" t="inlineStr">
        <is>
          <t>Update Product Price</t>
        </is>
      </c>
      <c r="C20" s="11" t="inlineStr">
        <is>
          <t>Branch Manager</t>
        </is>
      </c>
      <c r="D20" s="13" t="inlineStr">
        <is>
          <t>Matches</t>
        </is>
      </c>
      <c r="E20" s="11" t="inlineStr">
        <is>
          <t>REQ071-073</t>
        </is>
      </c>
      <c r="F20" s="11" t="inlineStr">
        <is>
          <t>BM-only prices everywhere (publish rules).</t>
        </is>
      </c>
    </row>
    <row r="21">
      <c r="A21" s="11" t="inlineStr">
        <is>
          <t>2.2</t>
        </is>
      </c>
      <c r="B21" s="11" t="inlineStr">
        <is>
          <t>Create Staff Account</t>
        </is>
      </c>
      <c r="C21" s="11" t="inlineStr">
        <is>
          <t>Branch Manager</t>
        </is>
      </c>
      <c r="D21" s="13" t="inlineStr">
        <is>
          <t>Matches</t>
        </is>
      </c>
      <c r="E21" s="11" t="inlineStr">
        <is>
          <t>REQ118</t>
        </is>
      </c>
      <c r="F21" s="11" t="inlineStr"/>
    </row>
    <row r="22">
      <c r="A22" s="11" t="inlineStr">
        <is>
          <t>2.2</t>
        </is>
      </c>
      <c r="B22" s="11" t="inlineStr">
        <is>
          <t>Manage Staff Accounts</t>
        </is>
      </c>
      <c r="C22" s="11" t="inlineStr">
        <is>
          <t>Branch Manager</t>
        </is>
      </c>
      <c r="D22" s="13" t="inlineStr">
        <is>
          <t>Matches</t>
        </is>
      </c>
      <c r="E22" s="11" t="inlineStr">
        <is>
          <t>REQ118-119</t>
        </is>
      </c>
      <c r="F22" s="11" t="inlineStr"/>
    </row>
    <row r="23">
      <c r="A23" s="11" t="inlineStr">
        <is>
          <t>2.2</t>
        </is>
      </c>
      <c r="B23" s="11" t="inlineStr">
        <is>
          <t>View Order History</t>
        </is>
      </c>
      <c r="C23" s="11" t="inlineStr">
        <is>
          <t>Registered User</t>
        </is>
      </c>
      <c r="D23" s="13" t="inlineStr">
        <is>
          <t>Matches</t>
        </is>
      </c>
      <c r="E23" s="11" t="inlineStr">
        <is>
          <t>REQ031-032</t>
        </is>
      </c>
      <c r="F23" s="11" t="inlineStr"/>
    </row>
    <row r="24">
      <c r="A24" s="11" t="inlineStr">
        <is>
          <t>2.2</t>
        </is>
      </c>
      <c r="B24" s="11" t="inlineStr">
        <is>
          <t>Manage Cart</t>
        </is>
      </c>
      <c r="C24" s="11" t="inlineStr">
        <is>
          <t>Registered User</t>
        </is>
      </c>
      <c r="D24" s="13" t="inlineStr">
        <is>
          <t>Matches</t>
        </is>
      </c>
      <c r="E24" s="11" t="inlineStr">
        <is>
          <t>REQ014-016</t>
        </is>
      </c>
      <c r="F24" s="11" t="inlineStr">
        <is>
          <t>77336f3: cart saved on the account.</t>
        </is>
      </c>
    </row>
    <row r="25">
      <c r="A25" s="11" t="inlineStr">
        <is>
          <t>2.2</t>
        </is>
      </c>
      <c r="B25" s="11" t="inlineStr">
        <is>
          <t>Proceed to Checkout</t>
        </is>
      </c>
      <c r="C25" s="11" t="inlineStr">
        <is>
          <t>Registered User</t>
        </is>
      </c>
      <c r="D25" s="13" t="inlineStr">
        <is>
          <t>Matches</t>
        </is>
      </c>
      <c r="E25" s="11" t="inlineStr">
        <is>
          <t>REQ017-020</t>
        </is>
      </c>
      <c r="F25" s="11" t="inlineStr"/>
    </row>
    <row r="26">
      <c r="A26" s="11" t="inlineStr">
        <is>
          <t>2.2</t>
        </is>
      </c>
      <c r="B26" s="11" t="inlineStr">
        <is>
          <t>Process Prescription Pre Order</t>
        </is>
      </c>
      <c r="C26" s="11" t="inlineStr">
        <is>
          <t>Registered User</t>
        </is>
      </c>
      <c r="D26" s="14" t="inlineStr">
        <is>
          <t>Partial</t>
        </is>
      </c>
      <c r="E26" s="11" t="inlineStr">
        <is>
          <t>REQ021-027</t>
        </is>
      </c>
      <c r="F26" s="11" t="inlineStr">
        <is>
          <t>082ec92: approve/reject built. Name still differs from Fig 2.4 ('Submit Prescription Pre-Order') - paper edit.</t>
        </is>
      </c>
    </row>
    <row r="27">
      <c r="A27" s="11" t="inlineStr">
        <is>
          <t>2.3</t>
        </is>
      </c>
      <c r="B27" s="11" t="inlineStr">
        <is>
          <t>Access Live Chat</t>
        </is>
      </c>
      <c r="C27" s="11" t="inlineStr">
        <is>
          <t>Guest</t>
        </is>
      </c>
      <c r="D27" s="15" t="inlineStr">
        <is>
          <t>Missing</t>
        </is>
      </c>
      <c r="E27" s="11" t="inlineStr">
        <is>
          <t>REQ035</t>
        </is>
      </c>
      <c r="F27" s="11" t="inlineStr"/>
    </row>
    <row r="28">
      <c r="A28" s="11" t="inlineStr">
        <is>
          <t>2.3</t>
        </is>
      </c>
      <c r="B28" s="11" t="inlineStr">
        <is>
          <t>Browse Product Catalog</t>
        </is>
      </c>
      <c r="C28" s="11" t="inlineStr">
        <is>
          <t>Guest</t>
        </is>
      </c>
      <c r="D28" s="13" t="inlineStr">
        <is>
          <t>Matches</t>
        </is>
      </c>
      <c r="E28" s="11" t="inlineStr">
        <is>
          <t>REQ009</t>
        </is>
      </c>
      <c r="F28" s="11" t="inlineStr"/>
    </row>
    <row r="29">
      <c r="A29" s="11" t="inlineStr">
        <is>
          <t>2.3</t>
        </is>
      </c>
      <c r="B29" s="11" t="inlineStr">
        <is>
          <t>View Product Details</t>
        </is>
      </c>
      <c r="C29" s="11" t="inlineStr">
        <is>
          <t>Guest</t>
        </is>
      </c>
      <c r="D29" s="13" t="inlineStr">
        <is>
          <t>Matches</t>
        </is>
      </c>
      <c r="E29" s="11" t="inlineStr">
        <is>
          <t>REQ013</t>
        </is>
      </c>
      <c r="F29" s="11" t="inlineStr"/>
    </row>
    <row r="30">
      <c r="A30" s="11" t="inlineStr">
        <is>
          <t>2.3</t>
        </is>
      </c>
      <c r="B30" s="11" t="inlineStr">
        <is>
          <t>Filter and Search Products</t>
        </is>
      </c>
      <c r="C30" s="11" t="inlineStr">
        <is>
          <t>Guest</t>
        </is>
      </c>
      <c r="D30" s="13" t="inlineStr">
        <is>
          <t>Matches</t>
        </is>
      </c>
      <c r="E30" s="11" t="inlineStr">
        <is>
          <t>REQ010-011</t>
        </is>
      </c>
      <c r="F30" s="11" t="inlineStr">
        <is>
          <t>Header search + price/stock filters.</t>
        </is>
      </c>
    </row>
    <row r="31">
      <c r="A31" s="11" t="inlineStr">
        <is>
          <t>2.3</t>
        </is>
      </c>
      <c r="B31" s="11" t="inlineStr">
        <is>
          <t>Register Account &lt;&lt;include&gt;&gt; Verify Email</t>
        </is>
      </c>
      <c r="C31" s="11" t="inlineStr">
        <is>
          <t>Guest</t>
        </is>
      </c>
      <c r="D31" s="13" t="inlineStr">
        <is>
          <t>Matches</t>
        </is>
      </c>
      <c r="E31" s="11" t="inlineStr">
        <is>
          <t>REQ001-002</t>
        </is>
      </c>
      <c r="F31" s="11" t="inlineStr"/>
    </row>
    <row r="32">
      <c r="A32" s="11" t="inlineStr">
        <is>
          <t>2.3</t>
        </is>
      </c>
      <c r="B32" s="11" t="inlineStr">
        <is>
          <t>Login to Account &lt;&lt;extend&gt;&gt; Verify OTP</t>
        </is>
      </c>
      <c r="C32" s="11" t="inlineStr">
        <is>
          <t>Staff, Registered User</t>
        </is>
      </c>
      <c r="D32" s="15" t="inlineStr">
        <is>
          <t>Missing</t>
        </is>
      </c>
      <c r="E32" s="11" t="inlineStr">
        <is>
          <t>REQ005, REQ044</t>
        </is>
      </c>
      <c r="F32" s="11" t="inlineStr">
        <is>
          <t>Verify OTP not built.</t>
        </is>
      </c>
    </row>
    <row r="33">
      <c r="A33" s="11" t="inlineStr">
        <is>
          <t>2.3</t>
        </is>
      </c>
      <c r="B33" s="11" t="inlineStr">
        <is>
          <t>Login to Account &lt;&lt;extend&gt;&gt; Recover Password</t>
        </is>
      </c>
      <c r="C33" s="11" t="inlineStr">
        <is>
          <t>Staff, Registered User</t>
        </is>
      </c>
      <c r="D33" s="13" t="inlineStr">
        <is>
          <t>Matches</t>
        </is>
      </c>
      <c r="E33" s="11" t="inlineStr">
        <is>
          <t>REQ007, REQ046</t>
        </is>
      </c>
      <c r="F33" s="11" t="inlineStr"/>
    </row>
    <row r="34">
      <c r="A34" s="11" t="inlineStr">
        <is>
          <t>2.3</t>
        </is>
      </c>
      <c r="B34" s="11" t="inlineStr">
        <is>
          <t>Update Account Settings</t>
        </is>
      </c>
      <c r="C34" s="11" t="inlineStr">
        <is>
          <t>Staff, Registered User</t>
        </is>
      </c>
      <c r="D34" s="13" t="inlineStr">
        <is>
          <t>Matches</t>
        </is>
      </c>
      <c r="E34" s="11" t="inlineStr">
        <is>
          <t>REQ040-042</t>
        </is>
      </c>
      <c r="F34" s="11" t="inlineStr"/>
    </row>
    <row r="35">
      <c r="A35" s="11" t="inlineStr">
        <is>
          <t>2.4</t>
        </is>
      </c>
      <c r="B35" s="11" t="inlineStr">
        <is>
          <t>Submit Prescription Pre-Order</t>
        </is>
      </c>
      <c r="C35" s="11" t="inlineStr">
        <is>
          <t>Registered User</t>
        </is>
      </c>
      <c r="D35" s="13" t="inlineStr">
        <is>
          <t>Matches</t>
        </is>
      </c>
      <c r="E35" s="11" t="inlineStr">
        <is>
          <t>REQ021-027</t>
        </is>
      </c>
      <c r="F35" s="11" t="inlineStr">
        <is>
          <t>082ec92: separate prescription approval/rejection with reason.</t>
        </is>
      </c>
    </row>
    <row r="36">
      <c r="A36" s="11" t="inlineStr">
        <is>
          <t>2.4</t>
        </is>
      </c>
      <c r="B36" s="11" t="inlineStr">
        <is>
          <t>Add Item to Cart</t>
        </is>
      </c>
      <c r="C36" s="11" t="inlineStr">
        <is>
          <t>Registered User</t>
        </is>
      </c>
      <c r="D36" s="13" t="inlineStr">
        <is>
          <t>Matches</t>
        </is>
      </c>
      <c r="E36" s="11" t="inlineStr">
        <is>
          <t>REQ014</t>
        </is>
      </c>
      <c r="F36" s="11" t="inlineStr"/>
    </row>
    <row r="37">
      <c r="A37" s="11" t="inlineStr">
        <is>
          <t>2.4</t>
        </is>
      </c>
      <c r="B37" s="11" t="inlineStr">
        <is>
          <t>View Order History</t>
        </is>
      </c>
      <c r="C37" s="11" t="inlineStr">
        <is>
          <t>Registered User</t>
        </is>
      </c>
      <c r="D37" s="13" t="inlineStr">
        <is>
          <t>Matches</t>
        </is>
      </c>
      <c r="E37" s="11" t="inlineStr">
        <is>
          <t>REQ031</t>
        </is>
      </c>
      <c r="F37" s="11" t="inlineStr"/>
    </row>
    <row r="38">
      <c r="A38" s="11" t="inlineStr">
        <is>
          <t>2.4</t>
        </is>
      </c>
      <c r="B38" s="11" t="inlineStr">
        <is>
          <t>&lt;&lt;extend&gt;&gt; Download Order Receipt</t>
        </is>
      </c>
      <c r="C38" s="11" t="inlineStr">
        <is>
          <t>Registered User</t>
        </is>
      </c>
      <c r="D38" s="13" t="inlineStr">
        <is>
          <t>Matches</t>
        </is>
      </c>
      <c r="E38" s="11" t="inlineStr">
        <is>
          <t>REQ033</t>
        </is>
      </c>
      <c r="F38" s="11" t="inlineStr"/>
    </row>
    <row r="39">
      <c r="A39" s="11" t="inlineStr">
        <is>
          <t>2.4</t>
        </is>
      </c>
      <c r="B39" s="11" t="inlineStr">
        <is>
          <t>&lt;&lt;extend&gt;&gt; Track Order Status</t>
        </is>
      </c>
      <c r="C39" s="11" t="inlineStr">
        <is>
          <t>Registered User</t>
        </is>
      </c>
      <c r="D39" s="13" t="inlineStr">
        <is>
          <t>Matches</t>
        </is>
      </c>
      <c r="E39" s="11" t="inlineStr">
        <is>
          <t>REQ034</t>
        </is>
      </c>
      <c r="F39" s="11" t="inlineStr">
        <is>
          <t>Tracking link shown once dispatched.</t>
        </is>
      </c>
    </row>
    <row r="40">
      <c r="A40" s="11" t="inlineStr">
        <is>
          <t>2.4</t>
        </is>
      </c>
      <c r="B40" s="11" t="inlineStr">
        <is>
          <t>&lt;&lt;extend&gt;&gt; Confirm Order Receipt</t>
        </is>
      </c>
      <c r="C40" s="11" t="inlineStr">
        <is>
          <t>Registered User</t>
        </is>
      </c>
      <c r="D40" s="13" t="inlineStr">
        <is>
          <t>Matches</t>
        </is>
      </c>
      <c r="E40" s="11" t="inlineStr">
        <is>
          <t>REQ105</t>
        </is>
      </c>
      <c r="F40" s="11" t="inlineStr">
        <is>
          <t>Sets 'Received' - see C1.</t>
        </is>
      </c>
    </row>
    <row r="41">
      <c r="A41" s="11" t="inlineStr">
        <is>
          <t>2.4</t>
        </is>
      </c>
      <c r="B41" s="11" t="inlineStr">
        <is>
          <t>Manage Cart</t>
        </is>
      </c>
      <c r="C41" s="11" t="inlineStr">
        <is>
          <t>Registered User</t>
        </is>
      </c>
      <c r="D41" s="13" t="inlineStr">
        <is>
          <t>Matches</t>
        </is>
      </c>
      <c r="E41" s="11" t="inlineStr">
        <is>
          <t>REQ015-016</t>
        </is>
      </c>
      <c r="F41" s="11" t="inlineStr"/>
    </row>
    <row r="42">
      <c r="A42" s="11" t="inlineStr">
        <is>
          <t>2.4</t>
        </is>
      </c>
      <c r="B42" s="11" t="inlineStr">
        <is>
          <t>Proceed to Checkout &lt;&lt;include&gt;&gt; Upload Payment Proof &lt;&lt;include&gt;&gt; Place Order</t>
        </is>
      </c>
      <c r="C42" s="11" t="inlineStr">
        <is>
          <t>Registered User</t>
        </is>
      </c>
      <c r="D42" s="13" t="inlineStr">
        <is>
          <t>Matches</t>
        </is>
      </c>
      <c r="E42" s="11" t="inlineStr">
        <is>
          <t>REQ017-030</t>
        </is>
      </c>
      <c r="F42" s="11" t="inlineStr">
        <is>
          <t>Paper: include chain direction is unusual (Upload Payment Proof including Place Order).</t>
        </is>
      </c>
    </row>
    <row r="43">
      <c r="A43" s="11" t="inlineStr">
        <is>
          <t>2.5</t>
        </is>
      </c>
      <c r="B43" s="11" t="inlineStr">
        <is>
          <t>Manage Inventory</t>
        </is>
      </c>
      <c r="C43" s="11" t="inlineStr">
        <is>
          <t>Technical Staff (+BM)</t>
        </is>
      </c>
      <c r="D43" s="13" t="inlineStr">
        <is>
          <t>Matches</t>
        </is>
      </c>
      <c r="E43" s="11" t="inlineStr">
        <is>
          <t>REQ049</t>
        </is>
      </c>
      <c r="F43" s="11" t="inlineStr"/>
    </row>
    <row r="44">
      <c r="A44" s="11" t="inlineStr">
        <is>
          <t>2.5</t>
        </is>
      </c>
      <c r="B44" s="11" t="inlineStr">
        <is>
          <t>&lt;&lt;extend&gt;&gt; Monitor FEFO Expiration Alerts</t>
        </is>
      </c>
      <c r="C44" s="11" t="inlineStr">
        <is>
          <t>Technical Staff (+BM)</t>
        </is>
      </c>
      <c r="D44" s="14" t="inlineStr">
        <is>
          <t>Partial</t>
        </is>
      </c>
      <c r="E44" s="11" t="inlineStr">
        <is>
          <t>REQ065-067</t>
        </is>
      </c>
      <c r="F44" s="11" t="inlineStr">
        <is>
          <t>6-month flag yes; 2-month Bad Order missing.</t>
        </is>
      </c>
    </row>
    <row r="45">
      <c r="A45" s="11" t="inlineStr">
        <is>
          <t>2.5</t>
        </is>
      </c>
      <c r="B45" s="11" t="inlineStr">
        <is>
          <t>&lt;&lt;extend&gt;&gt; Write Off Unsellable Stock &lt;&lt;include&gt;&gt; Record Reason</t>
        </is>
      </c>
      <c r="C45" s="11" t="inlineStr">
        <is>
          <t>Technical Staff (+BM)</t>
        </is>
      </c>
      <c r="D45" s="13" t="inlineStr">
        <is>
          <t>Matches</t>
        </is>
      </c>
      <c r="E45" s="11" t="inlineStr">
        <is>
          <t>REQ051-052</t>
        </is>
      </c>
      <c r="F45" s="11" t="inlineStr"/>
    </row>
    <row r="46">
      <c r="A46" s="11" t="inlineStr">
        <is>
          <t>2.5</t>
        </is>
      </c>
      <c r="B46" s="11" t="inlineStr">
        <is>
          <t>Month-End Stock Reconciliation &lt;&lt;include&gt;&gt; Enter Physical Counts</t>
        </is>
      </c>
      <c r="C46" s="11" t="inlineStr">
        <is>
          <t>Technical Staff (+BM)</t>
        </is>
      </c>
      <c r="D46" s="13" t="inlineStr">
        <is>
          <t>Matches</t>
        </is>
      </c>
      <c r="E46" s="11" t="inlineStr">
        <is>
          <t>REQ059-061</t>
        </is>
      </c>
      <c r="F46" s="11" t="inlineStr">
        <is>
          <t>06574da: BM finalizes; variance reason logged.</t>
        </is>
      </c>
    </row>
    <row r="47">
      <c r="A47" s="11" t="inlineStr">
        <is>
          <t>2.5</t>
        </is>
      </c>
      <c r="B47" s="11" t="inlineStr">
        <is>
          <t>Receive Supplier Delivery &lt;&lt;include&gt;&gt; Add Stock Receiving Entry</t>
        </is>
      </c>
      <c r="C47" s="11" t="inlineStr">
        <is>
          <t>Technical Staff (+BM)</t>
        </is>
      </c>
      <c r="D47" s="13" t="inlineStr">
        <is>
          <t>Matches</t>
        </is>
      </c>
      <c r="E47" s="11" t="inlineStr">
        <is>
          <t>REQ062-063</t>
        </is>
      </c>
      <c r="F47" s="11" t="inlineStr"/>
    </row>
    <row r="48">
      <c r="A48" s="11" t="inlineStr">
        <is>
          <t>2.5</t>
        </is>
      </c>
      <c r="B48" s="11" t="inlineStr">
        <is>
          <t>Create Purchase Order</t>
        </is>
      </c>
      <c r="C48" s="11" t="inlineStr">
        <is>
          <t>Technical Staff (+BM)</t>
        </is>
      </c>
      <c r="D48" s="13" t="inlineStr">
        <is>
          <t>Matches</t>
        </is>
      </c>
      <c r="E48" s="11" t="inlineStr">
        <is>
          <t>REQ053</t>
        </is>
      </c>
      <c r="F48" s="11" t="inlineStr">
        <is>
          <t>Paper: missing from overall diagram 2.2.</t>
        </is>
      </c>
    </row>
    <row r="49">
      <c r="A49" s="11" t="inlineStr">
        <is>
          <t>2.6</t>
        </is>
      </c>
      <c r="B49" s="11" t="inlineStr">
        <is>
          <t>Process Walk-in Purchase</t>
        </is>
      </c>
      <c r="C49" s="11" t="inlineStr">
        <is>
          <t>Sales Staff, Technical Staff</t>
        </is>
      </c>
      <c r="D49" s="13" t="inlineStr">
        <is>
          <t>Matches</t>
        </is>
      </c>
      <c r="E49" s="11" t="inlineStr">
        <is>
          <t>REQ082</t>
        </is>
      </c>
      <c r="F49" s="11" t="inlineStr"/>
    </row>
    <row r="50">
      <c r="A50" s="11" t="inlineStr">
        <is>
          <t>2.6</t>
        </is>
      </c>
      <c r="B50" s="11" t="inlineStr">
        <is>
          <t>&lt;&lt;include&gt;&gt; Generate Transaction Record</t>
        </is>
      </c>
      <c r="C50" s="11" t="inlineStr">
        <is>
          <t>Sales/Technical</t>
        </is>
      </c>
      <c r="D50" s="13" t="inlineStr">
        <is>
          <t>Matches</t>
        </is>
      </c>
      <c r="E50" s="11" t="inlineStr">
        <is>
          <t>REQ092</t>
        </is>
      </c>
      <c r="F50" s="11" t="inlineStr">
        <is>
          <t>Retail only; no wholesale invoice.</t>
        </is>
      </c>
    </row>
    <row r="51">
      <c r="A51" s="11" t="inlineStr">
        <is>
          <t>2.6</t>
        </is>
      </c>
      <c r="B51" s="11" t="inlineStr">
        <is>
          <t>&lt;&lt;extend&gt;&gt; Print Transaction Receipt</t>
        </is>
      </c>
      <c r="C51" s="11" t="inlineStr">
        <is>
          <t>Sales/Technical</t>
        </is>
      </c>
      <c r="D51" s="13" t="inlineStr">
        <is>
          <t>Matches</t>
        </is>
      </c>
      <c r="E51" s="11" t="inlineStr">
        <is>
          <t>Modules p.44</t>
        </is>
      </c>
      <c r="F51" s="11" t="inlineStr">
        <is>
          <t>57f4d80: Print button with 58mm receipt layout.</t>
        </is>
      </c>
    </row>
    <row r="52">
      <c r="A52" s="11" t="inlineStr">
        <is>
          <t>2.6</t>
        </is>
      </c>
      <c r="B52" s="11" t="inlineStr">
        <is>
          <t>&lt;&lt;extend&gt;&gt; Void Walk-in Transaction &lt;&lt;include&gt;&gt; Record Reason for Void</t>
        </is>
      </c>
      <c r="C52" s="11" t="inlineStr">
        <is>
          <t>Technical Staff (+BM)</t>
        </is>
      </c>
      <c r="D52" s="13" t="inlineStr">
        <is>
          <t>Matches</t>
        </is>
      </c>
      <c r="E52" s="11" t="inlineStr">
        <is>
          <t>REQ083</t>
        </is>
      </c>
      <c r="F52" s="11" t="inlineStr">
        <is>
          <t>57f4d80: void with required reason.</t>
        </is>
      </c>
    </row>
    <row r="53">
      <c r="A53" s="11" t="inlineStr">
        <is>
          <t>2.6</t>
        </is>
      </c>
      <c r="B53" s="11" t="inlineStr">
        <is>
          <t>Manage Online Order Queue &lt;&lt;extend&gt;&gt; Verify Proof of Payment</t>
        </is>
      </c>
      <c r="C53" s="11" t="inlineStr">
        <is>
          <t>Technical Staff (+BM)</t>
        </is>
      </c>
      <c r="D53" s="13" t="inlineStr">
        <is>
          <t>Matches</t>
        </is>
      </c>
      <c r="E53" s="11" t="inlineStr">
        <is>
          <t>REQ094-095</t>
        </is>
      </c>
      <c r="F53" s="11" t="inlineStr"/>
    </row>
    <row r="54">
      <c r="A54" s="11" t="inlineStr">
        <is>
          <t>2.6</t>
        </is>
      </c>
      <c r="B54" s="11" t="inlineStr">
        <is>
          <t>&lt;&lt;extend&gt;&gt; Place Order on Hold</t>
        </is>
      </c>
      <c r="C54" s="11" t="inlineStr">
        <is>
          <t>Technical Staff (+BM)</t>
        </is>
      </c>
      <c r="D54" s="13" t="inlineStr">
        <is>
          <t>Matches</t>
        </is>
      </c>
      <c r="E54" s="11" t="inlineStr">
        <is>
          <t>REQ096-099</t>
        </is>
      </c>
      <c r="F54" s="11" t="inlineStr"/>
    </row>
    <row r="55">
      <c r="A55" s="11" t="inlineStr">
        <is>
          <t>2.6</t>
        </is>
      </c>
      <c r="B55" s="11" t="inlineStr">
        <is>
          <t>&lt;&lt;extend&gt;&gt; Confirm Online Order &lt;&lt;include&gt;&gt; Generate Transaction Record</t>
        </is>
      </c>
      <c r="C55" s="11" t="inlineStr">
        <is>
          <t>Technical Staff (+BM)</t>
        </is>
      </c>
      <c r="D55" s="13" t="inlineStr">
        <is>
          <t>Matches</t>
        </is>
      </c>
      <c r="E55" s="11" t="inlineStr">
        <is>
          <t>REQ101</t>
        </is>
      </c>
      <c r="F55" s="11" t="inlineStr"/>
    </row>
    <row r="56">
      <c r="A56" s="11" t="inlineStr">
        <is>
          <t>2.6</t>
        </is>
      </c>
      <c r="B56" s="11" t="inlineStr">
        <is>
          <t>Generate Reports &lt;&lt;extend&gt;&gt; Export Reports</t>
        </is>
      </c>
      <c r="C56" s="11" t="inlineStr">
        <is>
          <t>Technical Staff (+BM)</t>
        </is>
      </c>
      <c r="D56" s="14" t="inlineStr">
        <is>
          <t>Partial</t>
        </is>
      </c>
      <c r="E56" s="11" t="inlineStr">
        <is>
          <t>REQ111-115</t>
        </is>
      </c>
      <c r="F56" s="11" t="inlineStr">
        <is>
          <t>aece0e7: exports are real PDF/Excel; client report formats still to build.</t>
        </is>
      </c>
    </row>
    <row r="57">
      <c r="A57" s="11" t="inlineStr">
        <is>
          <t>2.6</t>
        </is>
      </c>
      <c r="B57" s="11" t="inlineStr">
        <is>
          <t>Process Wholesale Purchase &lt;&lt;include&gt;&gt; Record Wholesale Purchase Order</t>
        </is>
      </c>
      <c r="C57" s="11" t="inlineStr">
        <is>
          <t>Technical Staff (+BM)</t>
        </is>
      </c>
      <c r="D57" s="13" t="inlineStr">
        <is>
          <t>Matches</t>
        </is>
      </c>
      <c r="E57" s="11" t="inlineStr">
        <is>
          <t>REQ087</t>
        </is>
      </c>
      <c r="F57" s="11" t="inlineStr">
        <is>
          <t>No wholesale sales invoice.</t>
        </is>
      </c>
    </row>
    <row r="58">
      <c r="A58" s="11" t="inlineStr">
        <is>
          <t>2.6</t>
        </is>
      </c>
      <c r="B58" s="11" t="inlineStr">
        <is>
          <t>(no bubble) Verify Prescription</t>
        </is>
      </c>
      <c r="C58" s="11" t="inlineStr">
        <is>
          <t>-</t>
        </is>
      </c>
      <c r="D58" s="18" t="inlineStr">
        <is>
          <t>N/A</t>
        </is>
      </c>
      <c r="E58" s="11" t="inlineStr">
        <is>
          <t>REQ077-081</t>
        </is>
      </c>
      <c r="F58" s="11" t="inlineStr">
        <is>
          <t>Paper: RX verification has requirements but no use case in Fig 2.2 or 2.6.</t>
        </is>
      </c>
    </row>
    <row r="59">
      <c r="A59" s="11" t="inlineStr">
        <is>
          <t>2.6</t>
        </is>
      </c>
      <c r="B59" s="11" t="inlineStr">
        <is>
          <t>(no bubble) Free-of-Cost Distribution</t>
        </is>
      </c>
      <c r="C59" s="11" t="inlineStr">
        <is>
          <t>-</t>
        </is>
      </c>
      <c r="D59" s="18" t="inlineStr">
        <is>
          <t>N/A</t>
        </is>
      </c>
      <c r="E59" s="11" t="inlineStr">
        <is>
          <t>REQ091</t>
        </is>
      </c>
      <c r="F59" s="11" t="inlineStr">
        <is>
          <t>Paper: no use case in any figure (wholesale exchange is in Fig 2.7).</t>
        </is>
      </c>
    </row>
    <row r="60">
      <c r="A60" s="11" t="inlineStr">
        <is>
          <t>2.7</t>
        </is>
      </c>
      <c r="B60" s="11" t="inlineStr">
        <is>
          <t>Manage Live Chat</t>
        </is>
      </c>
      <c r="C60" s="11" t="inlineStr">
        <is>
          <t>Technical Staff (+BM)</t>
        </is>
      </c>
      <c r="D60" s="15" t="inlineStr">
        <is>
          <t>Missing</t>
        </is>
      </c>
      <c r="E60" s="11" t="inlineStr">
        <is>
          <t>REQ108-110</t>
        </is>
      </c>
      <c r="F60" s="11" t="inlineStr">
        <is>
          <t>Connected here, but not in Fig 2.2.</t>
        </is>
      </c>
    </row>
    <row r="61">
      <c r="A61" s="11" t="inlineStr">
        <is>
          <t>2.7</t>
        </is>
      </c>
      <c r="B61" s="11" t="inlineStr">
        <is>
          <t>Manage Product Catalog</t>
        </is>
      </c>
      <c r="C61" s="11" t="inlineStr">
        <is>
          <t>Technical Staff (+BM)</t>
        </is>
      </c>
      <c r="D61" s="13" t="inlineStr">
        <is>
          <t>Matches</t>
        </is>
      </c>
      <c r="E61" s="11" t="inlineStr">
        <is>
          <t>REQ068-070</t>
        </is>
      </c>
      <c r="F61" s="11" t="inlineStr">
        <is>
          <t>Dosage notes missing; category rename uses native prompt.</t>
        </is>
      </c>
    </row>
    <row r="62">
      <c r="A62" s="11" t="inlineStr">
        <is>
          <t>2.7</t>
        </is>
      </c>
      <c r="B62" s="11" t="inlineStr">
        <is>
          <t>Manage Supplier Accounts</t>
        </is>
      </c>
      <c r="C62" s="11" t="inlineStr">
        <is>
          <t>Technical Staff (+BM)</t>
        </is>
      </c>
      <c r="D62" s="13" t="inlineStr">
        <is>
          <t>Matches</t>
        </is>
      </c>
      <c r="E62" s="11" t="inlineStr">
        <is>
          <t>REQ069</t>
        </is>
      </c>
      <c r="F62" s="11" t="inlineStr"/>
    </row>
    <row r="63">
      <c r="A63" s="11" t="inlineStr">
        <is>
          <t>2.7</t>
        </is>
      </c>
      <c r="B63" s="11" t="inlineStr">
        <is>
          <t>Manage Wholesale Accounts</t>
        </is>
      </c>
      <c r="C63" s="11" t="inlineStr">
        <is>
          <t>Technical Staff (+BM)</t>
        </is>
      </c>
      <c r="D63" s="13" t="inlineStr">
        <is>
          <t>Matches</t>
        </is>
      </c>
      <c r="E63" s="11" t="inlineStr">
        <is>
          <t>REQ085-086</t>
        </is>
      </c>
      <c r="F63" s="11" t="inlineStr">
        <is>
          <t>No document expiry tracking.</t>
        </is>
      </c>
    </row>
    <row r="64">
      <c r="A64" s="11" t="inlineStr">
        <is>
          <t>2.7</t>
        </is>
      </c>
      <c r="B64" s="11" t="inlineStr">
        <is>
          <t>&lt;&lt;extend&gt;&gt; Process Wholesale Exchange Request</t>
        </is>
      </c>
      <c r="C64" s="11" t="inlineStr">
        <is>
          <t>Technical Staff (+BM)</t>
        </is>
      </c>
      <c r="D64" s="15" t="inlineStr">
        <is>
          <t>Missing</t>
        </is>
      </c>
      <c r="E64" s="11" t="inlineStr">
        <is>
          <t>REQ090</t>
        </is>
      </c>
      <c r="F64" s="11" t="inlineStr"/>
    </row>
    <row r="65">
      <c r="A65" s="11" t="inlineStr">
        <is>
          <t>2.7</t>
        </is>
      </c>
      <c r="B65" s="11" t="inlineStr">
        <is>
          <t>&lt;&lt;include&gt;&gt; Adjust Inventory for Exchange</t>
        </is>
      </c>
      <c r="C65" s="11" t="inlineStr">
        <is>
          <t>Technical Staff (+BM)</t>
        </is>
      </c>
      <c r="D65" s="15" t="inlineStr">
        <is>
          <t>Missing</t>
        </is>
      </c>
      <c r="E65" s="11" t="inlineStr">
        <is>
          <t>REQ090</t>
        </is>
      </c>
      <c r="F65" s="11" t="inlineStr"/>
    </row>
    <row r="66">
      <c r="A66" s="11" t="inlineStr">
        <is>
          <t>2.7</t>
        </is>
      </c>
      <c r="B66" s="11" t="inlineStr">
        <is>
          <t>Manage Online Customer Accounts</t>
        </is>
      </c>
      <c r="C66" s="11" t="inlineStr">
        <is>
          <t>Technical Staff (+BM)</t>
        </is>
      </c>
      <c r="D66" s="13" t="inlineStr">
        <is>
          <t>Matches</t>
        </is>
      </c>
      <c r="E66" s="11" t="inlineStr">
        <is>
          <t>REQ116-117</t>
        </is>
      </c>
      <c r="F66" s="11" t="inlineStr">
        <is>
          <t>847c877: order history listed in the profile.</t>
        </is>
      </c>
    </row>
    <row r="67">
      <c r="A67" s="11" t="inlineStr">
        <is>
          <t>2.7</t>
        </is>
      </c>
      <c r="B67" s="11" t="inlineStr">
        <is>
          <t>View Audit Log</t>
        </is>
      </c>
      <c r="C67" s="11" t="inlineStr">
        <is>
          <t>Technical Staff (+BM)</t>
        </is>
      </c>
      <c r="D67" s="13" t="inlineStr">
        <is>
          <t>Matches</t>
        </is>
      </c>
      <c r="E67" s="11" t="inlineStr">
        <is>
          <t>REQ123-124</t>
        </is>
      </c>
      <c r="F67" s="11" t="inlineStr"/>
    </row>
    <row r="68">
      <c r="A68" s="11" t="inlineStr">
        <is>
          <t>2.7</t>
        </is>
      </c>
      <c r="B68" s="11" t="inlineStr">
        <is>
          <t>Update Product Price</t>
        </is>
      </c>
      <c r="C68" s="11" t="inlineStr">
        <is>
          <t>Branch Manager</t>
        </is>
      </c>
      <c r="D68" s="13" t="inlineStr">
        <is>
          <t>Matches</t>
        </is>
      </c>
      <c r="E68" s="11" t="inlineStr">
        <is>
          <t>REQ071-072</t>
        </is>
      </c>
      <c r="F68" s="11" t="inlineStr">
        <is>
          <t>BM-only prices everywhere (publish rules).</t>
        </is>
      </c>
    </row>
    <row r="69">
      <c r="A69" s="11" t="inlineStr">
        <is>
          <t>2.7</t>
        </is>
      </c>
      <c r="B69" s="11" t="inlineStr">
        <is>
          <t>&lt;&lt;include&gt;&gt; Record Price Change in Audit Log</t>
        </is>
      </c>
      <c r="C69" s="11" t="inlineStr">
        <is>
          <t>Branch Manager</t>
        </is>
      </c>
      <c r="D69" s="13" t="inlineStr">
        <is>
          <t>Matches</t>
        </is>
      </c>
      <c r="E69" s="11" t="inlineStr">
        <is>
          <t>REQ073</t>
        </is>
      </c>
      <c r="F69" s="11" t="inlineStr">
        <is>
          <t>No reason captured.</t>
        </is>
      </c>
    </row>
    <row r="70">
      <c r="A70" s="11" t="inlineStr">
        <is>
          <t>2.7</t>
        </is>
      </c>
      <c r="B70" s="11" t="inlineStr">
        <is>
          <t>Create Staff Account &lt;&lt;include&gt;&gt; Assign Staff Role</t>
        </is>
      </c>
      <c r="C70" s="11" t="inlineStr">
        <is>
          <t>Branch Manager</t>
        </is>
      </c>
      <c r="D70" s="13" t="inlineStr">
        <is>
          <t>Matches</t>
        </is>
      </c>
      <c r="E70" s="11" t="inlineStr">
        <is>
          <t>REQ118-119</t>
        </is>
      </c>
      <c r="F70" s="11" t="inlineStr">
        <is>
          <t>Shared validators not applied.</t>
        </is>
      </c>
    </row>
    <row r="71">
      <c r="A71" s="11" t="inlineStr">
        <is>
          <t>2.7</t>
        </is>
      </c>
      <c r="B71" s="11" t="inlineStr">
        <is>
          <t>Manage Staff Accounts</t>
        </is>
      </c>
      <c r="C71" s="11" t="inlineStr">
        <is>
          <t>Branch Manager</t>
        </is>
      </c>
      <c r="D71" s="13" t="inlineStr">
        <is>
          <t>Matches</t>
        </is>
      </c>
      <c r="E71" s="11" t="inlineStr">
        <is>
          <t>REQ118</t>
        </is>
      </c>
      <c r="F71" s="11" t="inlineStr">
        <is>
          <t>Editing an Administrator silently changes it to Branch Manager.</t>
        </is>
      </c>
    </row>
  </sheetData>
  <autoFilter ref="A1:F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46" customWidth="1" min="4" max="4"/>
    <col width="12" customWidth="1" min="5" max="5"/>
    <col width="16" customWidth="1" min="6" max="6"/>
    <col width="40" customWidth="1" min="7" max="7"/>
  </cols>
  <sheetData>
    <row r="1">
      <c r="A1" s="10" t="inlineStr">
        <is>
          <t>Figure</t>
        </is>
      </c>
      <c r="B1" s="10" t="inlineStr">
        <is>
          <t>Step / flow</t>
        </is>
      </c>
      <c r="C1" s="10" t="inlineStr">
        <is>
          <t>Paper shows</t>
        </is>
      </c>
      <c r="D1" s="10" t="inlineStr">
        <is>
          <t>System does</t>
        </is>
      </c>
      <c r="E1" s="10" t="inlineStr">
        <is>
          <t>Status</t>
        </is>
      </c>
      <c r="F1" s="10" t="inlineStr">
        <is>
          <t>Recommendation</t>
        </is>
      </c>
      <c r="G1" s="10" t="inlineStr">
        <is>
          <t>Notes</t>
        </is>
      </c>
    </row>
    <row r="2">
      <c r="A2" s="11" t="inlineStr">
        <is>
          <t>2.8</t>
        </is>
      </c>
      <c r="B2" s="11" t="inlineStr">
        <is>
          <t>Validate credentials -&gt; role redirect</t>
        </is>
      </c>
      <c r="C2" s="11" t="inlineStr">
        <is>
          <t>Valid login: customer to Home, staff to Dashboard</t>
        </is>
      </c>
      <c r="D2" s="11" t="inlineStr">
        <is>
          <t>Same (js/auth.js:94)</t>
        </is>
      </c>
      <c r="E2" s="13" t="inlineStr">
        <is>
          <t>Matches</t>
        </is>
      </c>
      <c r="F2" s="11" t="inlineStr">
        <is>
          <t>None</t>
        </is>
      </c>
      <c r="G2" s="11" t="inlineStr"/>
    </row>
    <row r="3">
      <c r="A3" s="11" t="inlineStr">
        <is>
          <t>2.8</t>
        </is>
      </c>
      <c r="B3" s="11" t="inlineStr">
        <is>
          <t>Failed attempts</t>
        </is>
      </c>
      <c r="C3" s="11" t="inlineStr">
        <is>
          <t>Increment count; at 5, lock 2 minutes; back to Login page</t>
        </is>
      </c>
      <c r="D3" s="11" t="inlineStr">
        <is>
          <t>Same (js/auth.js:57)</t>
        </is>
      </c>
      <c r="E3" s="13" t="inlineStr">
        <is>
          <t>Matches</t>
        </is>
      </c>
      <c r="F3" s="11" t="inlineStr">
        <is>
          <t>None</t>
        </is>
      </c>
      <c r="G3" s="11" t="inlineStr"/>
    </row>
    <row r="4">
      <c r="A4" s="11" t="inlineStr">
        <is>
          <t>2.8</t>
        </is>
      </c>
      <c r="B4" s="11" t="inlineStr">
        <is>
          <t>Device recognition + OTP</t>
        </is>
      </c>
      <c r="C4" s="11" t="inlineStr">
        <is>
          <t>Check if device is recognized; if not, send and validate OTP</t>
        </is>
      </c>
      <c r="D4" s="11" t="inlineStr">
        <is>
          <t>Not built</t>
        </is>
      </c>
      <c r="E4" s="15" t="inlineStr">
        <is>
          <t>Missing</t>
        </is>
      </c>
      <c r="F4" s="11" t="inlineStr">
        <is>
          <t>Change system</t>
        </is>
      </c>
      <c r="G4" s="11" t="inlineStr">
        <is>
          <t>REQ005/REQ044.</t>
        </is>
      </c>
    </row>
    <row r="5">
      <c r="A5" s="11" t="inlineStr">
        <is>
          <t>2.8</t>
        </is>
      </c>
      <c r="B5" s="11" t="inlineStr">
        <is>
          <t>Wrong OTP</t>
        </is>
      </c>
      <c r="C5" s="11" t="inlineStr">
        <is>
          <t>Diagram: 'No' from Validate OTP joins the failed-attempt counter (counts toward lockout). Text p.77: user is prompted to request a new OTP.</t>
        </is>
      </c>
      <c r="D5" s="11" t="inlineStr">
        <is>
          <t>-</t>
        </is>
      </c>
      <c r="E5" s="18" t="inlineStr">
        <is>
          <t>N/A</t>
        </is>
      </c>
      <c r="F5" s="11" t="inlineStr">
        <is>
          <t>Change paper</t>
        </is>
      </c>
      <c r="G5" s="11" t="inlineStr">
        <is>
          <t>Diagram and text disagree (C13).</t>
        </is>
      </c>
    </row>
    <row r="6">
      <c r="A6" s="11" t="inlineStr">
        <is>
          <t>2.8</t>
        </is>
      </c>
      <c r="B6" s="11" t="inlineStr">
        <is>
          <t>Steps the system has that the diagram lacks</t>
        </is>
      </c>
      <c r="C6" s="11" t="inlineStr">
        <is>
          <t>Not shown</t>
        </is>
      </c>
      <c r="D6" s="11" t="inlineStr">
        <is>
          <t>reCAPTCHA check, rejecting attempts while locked, blocking deactivated accounts, sending unverified customers to email verification</t>
        </is>
      </c>
      <c r="E6" s="16" t="inlineStr">
        <is>
          <t>Deviates</t>
        </is>
      </c>
      <c r="F6" s="11" t="inlineStr">
        <is>
          <t>Change paper</t>
        </is>
      </c>
      <c r="G6" s="11" t="inlineStr">
        <is>
          <t>Add to diagram; all are in requirements (REQ003, REQ004, REQ117, REQ002).</t>
        </is>
      </c>
    </row>
    <row r="7">
      <c r="A7" s="11" t="inlineStr">
        <is>
          <t>2.9</t>
        </is>
      </c>
      <c r="B7" s="11" t="inlineStr">
        <is>
          <t>Validate fields -&gt; duplicate email -&gt; Terms -&gt; send code</t>
        </is>
      </c>
      <c r="C7" s="11" t="inlineStr">
        <is>
          <t>Fields validated, then duplicate check, then Terms shown and accepted, then code sent</t>
        </is>
      </c>
      <c r="D7" s="11" t="inlineStr">
        <is>
          <t>Terms modal opens when the checkbox is ticked (before submit); duplicate email is caught by Firebase at account creation; code sent after</t>
        </is>
      </c>
      <c r="E7" s="16" t="inlineStr">
        <is>
          <t>Deviates</t>
        </is>
      </c>
      <c r="F7" s="11" t="inlineStr">
        <is>
          <t>Change paper</t>
        </is>
      </c>
      <c r="G7" s="11" t="inlineStr">
        <is>
          <t>Same outcome, different order (C14).</t>
        </is>
      </c>
    </row>
    <row r="8">
      <c r="A8" s="11" t="inlineStr">
        <is>
          <t>2.9</t>
        </is>
      </c>
      <c r="B8" s="11" t="inlineStr">
        <is>
          <t>Wrong / expired code</t>
        </is>
      </c>
      <c r="C8" s="11" t="inlineStr">
        <is>
          <t>Loop back to Enter Code (diagram); text p.79 adds 'request a new code'</t>
        </is>
      </c>
      <c r="D8" s="11" t="inlineStr">
        <is>
          <t>Retry or Resend link (js/verify-email.js)</t>
        </is>
      </c>
      <c r="E8" s="13" t="inlineStr">
        <is>
          <t>Matches</t>
        </is>
      </c>
      <c r="F8" s="11" t="inlineStr">
        <is>
          <t>Change paper</t>
        </is>
      </c>
      <c r="G8" s="11" t="inlineStr">
        <is>
          <t>Add Resend to diagram.</t>
        </is>
      </c>
    </row>
    <row r="9">
      <c r="A9" s="11" t="inlineStr">
        <is>
          <t>2.9</t>
        </is>
      </c>
      <c r="B9" s="11" t="inlineStr">
        <is>
          <t>After verification</t>
        </is>
      </c>
      <c r="C9" s="11" t="inlineStr">
        <is>
          <t>Go to Login</t>
        </is>
      </c>
      <c r="D9" s="11" t="inlineStr">
        <is>
          <t>Goes straight to the shop, already signed in</t>
        </is>
      </c>
      <c r="E9" s="16" t="inlineStr">
        <is>
          <t>Deviates</t>
        </is>
      </c>
      <c r="F9" s="11" t="inlineStr">
        <is>
          <t>Change paper</t>
        </is>
      </c>
      <c r="G9" s="11" t="inlineStr">
        <is>
          <t>C10.</t>
        </is>
      </c>
    </row>
    <row r="10">
      <c r="A10" s="11" t="inlineStr">
        <is>
          <t>2.9</t>
        </is>
      </c>
      <c r="B10" s="11" t="inlineStr">
        <is>
          <t>Account activation</t>
        </is>
      </c>
      <c r="C10" s="11" t="inlineStr">
        <is>
          <t>Account activated only after the code is verified</t>
        </is>
      </c>
      <c r="D10" s="11" t="inlineStr">
        <is>
          <t>Login account is created first with emailVerified:false; unverified customers are redirected to verification on login</t>
        </is>
      </c>
      <c r="E10" s="14" t="inlineStr">
        <is>
          <t>Partial</t>
        </is>
      </c>
      <c r="F10" s="11" t="inlineStr">
        <is>
          <t>None</t>
        </is>
      </c>
      <c r="G10" s="11" t="inlineStr">
        <is>
          <t>Functionally equivalent; note the REQ002 bypass issue.</t>
        </is>
      </c>
    </row>
    <row r="11">
      <c r="A11" s="11" t="inlineStr">
        <is>
          <t>2.10</t>
        </is>
      </c>
      <c r="B11" s="11" t="inlineStr">
        <is>
          <t>Catalog -&gt; cart -&gt; checkout</t>
        </is>
      </c>
      <c r="C11" s="11" t="inlineStr">
        <is>
          <t>Browse, add to cart, updated cart summary, checkout</t>
        </is>
      </c>
      <c r="D11" s="11" t="inlineStr">
        <is>
          <t>Same, plus choosing which cart items to check out</t>
        </is>
      </c>
      <c r="E11" s="13" t="inlineStr">
        <is>
          <t>Matches</t>
        </is>
      </c>
      <c r="F11" s="11" t="inlineStr">
        <is>
          <t>None</t>
        </is>
      </c>
      <c r="G11" s="11" t="inlineStr">
        <is>
          <t>Cart selection is an addition.</t>
        </is>
      </c>
    </row>
    <row r="12">
      <c r="A12" s="11" t="inlineStr">
        <is>
          <t>2.10</t>
        </is>
      </c>
      <c r="B12" s="11" t="inlineStr">
        <is>
          <t>Default address</t>
        </is>
      </c>
      <c r="C12" s="11" t="inlineStr">
        <is>
          <t>If saved, pre-fill; else enter</t>
        </is>
      </c>
      <c r="D12" s="11" t="inlineStr">
        <is>
          <t>Same (js/checkout.js)</t>
        </is>
      </c>
      <c r="E12" s="13" t="inlineStr">
        <is>
          <t>Matches</t>
        </is>
      </c>
      <c r="F12" s="11" t="inlineStr">
        <is>
          <t>None</t>
        </is>
      </c>
      <c r="G12" s="11" t="inlineStr"/>
    </row>
    <row r="13">
      <c r="A13" s="11" t="inlineStr">
        <is>
          <t>2.10</t>
        </is>
      </c>
      <c r="B13" s="11" t="inlineStr">
        <is>
          <t>RX check position</t>
        </is>
      </c>
      <c r="C13" s="11" t="inlineStr">
        <is>
          <t>Diagram: RX is checked after the address and after uploading payment proof, so RX customers are still asked for a delivery address. Text p.81: RX check comes before payment and delivery is not allowed.</t>
        </is>
      </c>
      <c r="D13" s="11" t="inlineStr">
        <is>
          <t>RX detected when checkout opens; address section hidden; pick-up only</t>
        </is>
      </c>
      <c r="E13" s="16" t="inlineStr">
        <is>
          <t>Deviates</t>
        </is>
      </c>
      <c r="F13" s="11" t="inlineStr">
        <is>
          <t>Change paper</t>
        </is>
      </c>
      <c r="G13" s="11" t="inlineStr">
        <is>
          <t>Diagram contradicts REQ023 and its own text (C15).</t>
        </is>
      </c>
    </row>
    <row r="14">
      <c r="A14" s="11" t="inlineStr">
        <is>
          <t>2.10</t>
        </is>
      </c>
      <c r="B14" s="11" t="inlineStr">
        <is>
          <t>Prescription photo upload</t>
        </is>
      </c>
      <c r="C14" s="11" t="inlineStr">
        <is>
          <t>Not shown in the diagram (text p.81 and REQ021 require it)</t>
        </is>
      </c>
      <c r="D14" s="11" t="inlineStr">
        <is>
          <t>Required on the payment page for RX orders</t>
        </is>
      </c>
      <c r="E14" s="16" t="inlineStr">
        <is>
          <t>Deviates</t>
        </is>
      </c>
      <c r="F14" s="11" t="inlineStr">
        <is>
          <t>Change paper</t>
        </is>
      </c>
      <c r="G14" s="11" t="inlineStr">
        <is>
          <t>C15.</t>
        </is>
      </c>
    </row>
    <row r="15">
      <c r="A15" s="11" t="inlineStr">
        <is>
          <t>2.10</t>
        </is>
      </c>
      <c r="B15" s="11" t="inlineStr">
        <is>
          <t>Order status after submission</t>
        </is>
      </c>
      <c r="C15" s="11" t="inlineStr">
        <is>
          <t>Recorded as Pending Payment Verification (RX included)</t>
        </is>
      </c>
      <c r="D15" s="11" t="inlineStr">
        <is>
          <t>Same ('placed' = Order Pending Verification)</t>
        </is>
      </c>
      <c r="E15" s="13" t="inlineStr">
        <is>
          <t>Matches</t>
        </is>
      </c>
      <c r="F15" s="11" t="inlineStr">
        <is>
          <t>None</t>
        </is>
      </c>
      <c r="G15" s="11" t="inlineStr">
        <is>
          <t>Diagram supports the system; REQ024 says 'Pending Prescription Verification' (C3).</t>
        </is>
      </c>
    </row>
    <row r="16">
      <c r="A16" s="11" t="inlineStr">
        <is>
          <t>2.10</t>
        </is>
      </c>
      <c r="B16" s="11" t="inlineStr">
        <is>
          <t>Order submission notification</t>
        </is>
      </c>
      <c r="C16" s="11" t="inlineStr">
        <is>
          <t>System sends a notification to the customer</t>
        </is>
      </c>
      <c r="D16" s="11" t="inlineStr">
        <is>
          <t>Only an on-screen confirmation with the order number; no notification</t>
        </is>
      </c>
      <c r="E16" s="15" t="inlineStr">
        <is>
          <t>Missing</t>
        </is>
      </c>
      <c r="F16" s="11" t="inlineStr">
        <is>
          <t>Change system</t>
        </is>
      </c>
      <c r="G16" s="11" t="inlineStr">
        <is>
          <t>Small: add an order-placed entry to the customer bell.</t>
        </is>
      </c>
    </row>
    <row r="17">
      <c r="A17" s="11" t="inlineStr">
        <is>
          <t>2.10</t>
        </is>
      </c>
      <c r="B17" s="11" t="inlineStr">
        <is>
          <t>Steps the system has that the diagram lacks</t>
        </is>
      </c>
      <c r="C17" s="11" t="inlineStr">
        <is>
          <t>Not shown</t>
        </is>
      </c>
      <c r="D17" s="11" t="inlineStr">
        <is>
          <t>Login required to check out, delivery schedule, store credit discount, live stock re-check before submitting</t>
        </is>
      </c>
      <c r="E17" s="16" t="inlineStr">
        <is>
          <t>Deviates</t>
        </is>
      </c>
      <c r="F17" s="11" t="inlineStr">
        <is>
          <t>Change paper</t>
        </is>
      </c>
      <c r="G17" s="11" t="inlineStr">
        <is>
          <t>Optional: add to diagram (delivery schedule is in Modules p.39).</t>
        </is>
      </c>
    </row>
    <row r="18">
      <c r="A18" s="11" t="inlineStr">
        <is>
          <t>2.11</t>
        </is>
      </c>
      <c r="B18" s="11" t="inlineStr">
        <is>
          <t>Valid payment</t>
        </is>
      </c>
      <c r="C18" s="11" t="inlineStr">
        <is>
          <t>Confirm -&gt; notify customer -&gt; FEFO stock deduction -&gt; receipt</t>
        </is>
      </c>
      <c r="D18" s="11" t="inlineStr">
        <is>
          <t>Stock is deducted first; if stock ran out the order goes on an Out of Stock hold instead</t>
        </is>
      </c>
      <c r="E18" s="16" t="inlineStr">
        <is>
          <t>Deviates</t>
        </is>
      </c>
      <c r="F18" s="11" t="inlineStr">
        <is>
          <t>Change paper</t>
        </is>
      </c>
      <c r="G18" s="11" t="inlineStr">
        <is>
          <t>Diagram has no out-of-stock path (C19).</t>
        </is>
      </c>
    </row>
    <row r="19">
      <c r="A19" s="11" t="inlineStr">
        <is>
          <t>2.11</t>
        </is>
      </c>
      <c r="B19" s="11" t="inlineStr">
        <is>
          <t>RX pre-order after confirmation</t>
        </is>
      </c>
      <c r="C19" s="11" t="inlineStr">
        <is>
          <t>Diagram: admin copies delivery details, books courier and provides a tracking link before the system checks for RX</t>
        </is>
      </c>
      <c r="D19" s="11" t="inlineStr">
        <is>
          <t>RX orders skip courier booking and go straight to Ready for Pick-up</t>
        </is>
      </c>
      <c r="E19" s="16" t="inlineStr">
        <is>
          <t>Deviates</t>
        </is>
      </c>
      <c r="F19" s="11" t="inlineStr">
        <is>
          <t>Change paper</t>
        </is>
      </c>
      <c r="G19" s="11" t="inlineStr">
        <is>
          <t>RX orders can't be delivered (REQ080) (C17).</t>
        </is>
      </c>
    </row>
    <row r="20">
      <c r="A20" s="11" t="inlineStr">
        <is>
          <t>2.11</t>
        </is>
      </c>
      <c r="B20" s="11" t="inlineStr">
        <is>
          <t>Prescription review</t>
        </is>
      </c>
      <c r="C20" s="11" t="inlineStr">
        <is>
          <t>Not shown (payment screenshot only)</t>
        </is>
      </c>
      <c r="D20" s="11" t="inlineStr">
        <is>
          <t>082ec92: approve or reject (reason) before preparation; notify customer</t>
        </is>
      </c>
      <c r="E20" s="13" t="inlineStr">
        <is>
          <t>Matches</t>
        </is>
      </c>
      <c r="F20" s="11" t="inlineStr">
        <is>
          <t>None</t>
        </is>
      </c>
      <c r="G20" s="11" t="inlineStr">
        <is>
          <t>REQ077-079 require it (C3).</t>
        </is>
      </c>
    </row>
    <row r="21">
      <c r="A21" s="11" t="inlineStr">
        <is>
          <t>2.11</t>
        </is>
      </c>
      <c r="B21" s="11" t="inlineStr">
        <is>
          <t>Dispatch</t>
        </is>
      </c>
      <c r="C21" s="11" t="inlineStr">
        <is>
          <t>Admin provides tracking link; system marks Dispatched</t>
        </is>
      </c>
      <c r="D21" s="11" t="inlineStr">
        <is>
          <t>Customer now sees the tracking link; marking Dispatched with the link is still one step</t>
        </is>
      </c>
      <c r="E21" s="14" t="inlineStr">
        <is>
          <t>Partial</t>
        </is>
      </c>
      <c r="F21" s="11" t="inlineStr">
        <is>
          <t>Change system</t>
        </is>
      </c>
      <c r="G21" s="11" t="inlineStr">
        <is>
          <t>REQ034.</t>
        </is>
      </c>
    </row>
    <row r="22">
      <c r="A22" s="11" t="inlineStr">
        <is>
          <t>2.11</t>
        </is>
      </c>
      <c r="B22" s="11" t="inlineStr">
        <is>
          <t>Invalid payment</t>
        </is>
      </c>
      <c r="C22" s="11" t="inlineStr">
        <is>
          <t>On Hold -&gt; record reason -&gt; notify customer -&gt; re-upload -&gt; back to admin review</t>
        </is>
      </c>
      <c r="D22" s="11" t="inlineStr">
        <is>
          <t>Same (js/admin-online-orders.js:561; js/order-details.js)</t>
        </is>
      </c>
      <c r="E22" s="13" t="inlineStr">
        <is>
          <t>Matches</t>
        </is>
      </c>
      <c r="F22" s="11" t="inlineStr">
        <is>
          <t>None</t>
        </is>
      </c>
      <c r="G22" s="11" t="inlineStr"/>
    </row>
    <row r="23">
      <c r="A23" s="11" t="inlineStr">
        <is>
          <t>2.11</t>
        </is>
      </c>
      <c r="B23" s="11" t="inlineStr">
        <is>
          <t>Resolution without re-upload</t>
        </is>
      </c>
      <c r="C23" s="11" t="inlineStr">
        <is>
          <t>Diagram: if the customer 'performed resolution action', the system confirms the order with no admin review</t>
        </is>
      </c>
      <c r="D23" s="11" t="inlineStr">
        <is>
          <t>Every resolution returns to staff (resubmission or Release Hold)</t>
        </is>
      </c>
      <c r="E23" s="16" t="inlineStr">
        <is>
          <t>Deviates</t>
        </is>
      </c>
      <c r="F23" s="11" t="inlineStr">
        <is>
          <t>Change paper</t>
        </is>
      </c>
      <c r="G23" s="11" t="inlineStr">
        <is>
          <t>Diagram contradicts REQ101 (C18).</t>
        </is>
      </c>
    </row>
    <row r="24">
      <c r="A24" s="11" t="inlineStr">
        <is>
          <t>2.11</t>
        </is>
      </c>
      <c r="B24" s="11" t="inlineStr">
        <is>
          <t>Overpayment</t>
        </is>
      </c>
      <c r="C24" s="11" t="inlineStr">
        <is>
          <t>Treated as an invalid payment (hold)</t>
        </is>
      </c>
      <c r="D24" s="11" t="inlineStr">
        <is>
          <t>Approved immediately; excess added to store credit</t>
        </is>
      </c>
      <c r="E24" s="16" t="inlineStr">
        <is>
          <t>Deviates</t>
        </is>
      </c>
      <c r="F24" s="11" t="inlineStr">
        <is>
          <t>Change paper</t>
        </is>
      </c>
      <c r="G24" s="11" t="inlineStr">
        <is>
          <t>C2.</t>
        </is>
      </c>
    </row>
    <row r="25">
      <c r="A25" s="11" t="inlineStr">
        <is>
          <t>2.11</t>
        </is>
      </c>
      <c r="B25" s="11" t="inlineStr">
        <is>
          <t>Expired hold</t>
        </is>
      </c>
      <c r="C25" s="11" t="inlineStr">
        <is>
          <t>Admin marks the order Unresolved</t>
        </is>
      </c>
      <c r="D25" s="11" t="inlineStr">
        <is>
          <t>Closed automatically after 7 days, with verified payment kept as credit</t>
        </is>
      </c>
      <c r="E25" s="16" t="inlineStr">
        <is>
          <t>Deviates</t>
        </is>
      </c>
      <c r="F25" s="11" t="inlineStr">
        <is>
          <t>Change paper</t>
        </is>
      </c>
      <c r="G25" s="11" t="inlineStr">
        <is>
          <t>REQ100 says automatic; move step to System lane and add credit retention.</t>
        </is>
      </c>
    </row>
    <row r="26">
      <c r="A26" s="11" t="inlineStr">
        <is>
          <t>2.11</t>
        </is>
      </c>
      <c r="B26" s="11" t="inlineStr">
        <is>
          <t>Steps the system has that the diagram lacks</t>
        </is>
      </c>
      <c r="C26" s="11" t="inlineStr">
        <is>
          <t>Not shown</t>
        </is>
      </c>
      <c r="D26" s="11" t="inlineStr">
        <is>
          <t>Fully credit-covered orders (no screenshot), Release Hold by staff</t>
        </is>
      </c>
      <c r="E26" s="16" t="inlineStr">
        <is>
          <t>Deviates</t>
        </is>
      </c>
      <c r="F26" s="11" t="inlineStr">
        <is>
          <t>None</t>
        </is>
      </c>
      <c r="G26" s="11" t="inlineStr">
        <is>
          <t>Optional to add.</t>
        </is>
      </c>
    </row>
    <row r="27">
      <c r="A27" s="11" t="inlineStr">
        <is>
          <t>2.12</t>
        </is>
      </c>
      <c r="B27" s="11" t="inlineStr">
        <is>
          <t>Write-off</t>
        </is>
      </c>
      <c r="C27" s="11" t="inlineStr">
        <is>
          <t>Select product + qty, reason -&gt; deduct -&gt; audit log -&gt; low-stock check/alert</t>
        </is>
      </c>
      <c r="D27" s="11" t="inlineStr">
        <is>
          <t>Same (js/admin-inventory.js:994)</t>
        </is>
      </c>
      <c r="E27" s="13" t="inlineStr">
        <is>
          <t>Matches</t>
        </is>
      </c>
      <c r="F27" s="11" t="inlineStr">
        <is>
          <t>None</t>
        </is>
      </c>
      <c r="G27" s="11" t="inlineStr"/>
    </row>
    <row r="28">
      <c r="A28" s="11" t="inlineStr">
        <is>
          <t>2.12</t>
        </is>
      </c>
      <c r="B28" s="11" t="inlineStr">
        <is>
          <t>Stock receiving with a PO</t>
        </is>
      </c>
      <c r="C28" s="11" t="inlineStr">
        <is>
          <t>Link PO -&gt; enter details -&gt; match? add stock -&gt; audit log -&gt; low-stock check</t>
        </is>
      </c>
      <c r="D28" s="11" t="inlineStr">
        <is>
          <t>Receiving is now written to the audit log</t>
        </is>
      </c>
      <c r="E28" s="13" t="inlineStr">
        <is>
          <t>Matches</t>
        </is>
      </c>
      <c r="F28" s="11" t="inlineStr">
        <is>
          <t>None</t>
        </is>
      </c>
      <c r="G28" s="11" t="inlineStr">
        <is>
          <t>REQ122.</t>
        </is>
      </c>
    </row>
    <row r="29">
      <c r="A29" s="11" t="inlineStr">
        <is>
          <t>2.12</t>
        </is>
      </c>
      <c r="B29" s="11" t="inlineStr">
        <is>
          <t>Stock receiving: PO mismatch</t>
        </is>
      </c>
      <c r="C29" s="11" t="inlineStr">
        <is>
          <t>Diagram box repeats 'Verify if received quantities match PO quantities' -&gt; partial stock added -&gt; end</t>
        </is>
      </c>
      <c r="D29" s="11" t="inlineStr">
        <is>
          <t>Partial stock added, PO marked Discrepancy, acknowledgment required to close</t>
        </is>
      </c>
      <c r="E29" s="16" t="inlineStr">
        <is>
          <t>Deviates</t>
        </is>
      </c>
      <c r="F29" s="11" t="inlineStr">
        <is>
          <t>Change paper</t>
        </is>
      </c>
      <c r="G29" s="11" t="inlineStr">
        <is>
          <t>Copy-paste error in the diagram; should be 'Generate Discrepancy Report / Mark PO as Discrepancy', plus the acknowledgment step.</t>
        </is>
      </c>
    </row>
    <row r="30">
      <c r="A30" s="11" t="inlineStr">
        <is>
          <t>2.12</t>
        </is>
      </c>
      <c r="B30" s="11" t="inlineStr">
        <is>
          <t>Stock receiving without a PO / batch upload</t>
        </is>
      </c>
      <c r="C30" s="11" t="inlineStr">
        <is>
          <t>Not shown (text p.85 describes both)</t>
        </is>
      </c>
      <c r="D30" s="11" t="inlineStr">
        <is>
          <t>Both exist (manual Receive Stock, Excel/CSV upload)</t>
        </is>
      </c>
      <c r="E30" s="16" t="inlineStr">
        <is>
          <t>Deviates</t>
        </is>
      </c>
      <c r="F30" s="11" t="inlineStr">
        <is>
          <t>Change paper</t>
        </is>
      </c>
      <c r="G30" s="11" t="inlineStr">
        <is>
          <t>Add the no-PO branch and batch upload to the diagram.</t>
        </is>
      </c>
    </row>
    <row r="31">
      <c r="A31" s="11" t="inlineStr">
        <is>
          <t>2.12</t>
        </is>
      </c>
      <c r="B31" s="11" t="inlineStr">
        <is>
          <t>6-month flag</t>
        </is>
      </c>
      <c r="C31" s="11" t="inlineStr">
        <is>
          <t>Flag for pull-out -&gt; expiration alert -&gt; admin chooses Write Off or Reserve for Free-of-Cost</t>
        </is>
      </c>
      <c r="D31" s="11" t="inlineStr">
        <is>
          <t>Flagged automatically as Wholesale Only (only when Inventory opens) + alert; no pull-out action choice</t>
        </is>
      </c>
      <c r="E31" s="14" t="inlineStr">
        <is>
          <t>Partial</t>
        </is>
      </c>
      <c r="F31" s="11" t="inlineStr">
        <is>
          <t>Change system</t>
        </is>
      </c>
      <c r="G31" s="11" t="inlineStr">
        <is>
          <t>REQ066 timing fix; 'Reserve for free-of-cost' could just be the Wholesale Only flag + REQ091.</t>
        </is>
      </c>
    </row>
    <row r="32">
      <c r="A32" s="11" t="inlineStr">
        <is>
          <t>2.12</t>
        </is>
      </c>
      <c r="B32" s="11" t="inlineStr">
        <is>
          <t>2-month Bad Order</t>
        </is>
      </c>
      <c r="C32" s="11" t="inlineStr">
        <is>
          <t>Flag Bad Order -&gt; alert -&gt; 'Apply FEFO-Based Stock Deduction'</t>
        </is>
      </c>
      <c r="D32" s="11" t="inlineStr">
        <is>
          <t>Not built</t>
        </is>
      </c>
      <c r="E32" s="15" t="inlineStr">
        <is>
          <t>Missing</t>
        </is>
      </c>
      <c r="F32" s="11" t="inlineStr">
        <is>
          <t>System + paper</t>
        </is>
      </c>
      <c r="G32" s="11" t="inlineStr">
        <is>
          <t>Build REQ067; diagram should say 'Write off / deduct the batch', not FEFO deduction.</t>
        </is>
      </c>
    </row>
    <row r="33">
      <c r="A33" s="11" t="inlineStr">
        <is>
          <t>2.12</t>
        </is>
      </c>
      <c r="B33" s="11" t="inlineStr">
        <is>
          <t>Expiry decision order</t>
        </is>
      </c>
      <c r="C33" s="11" t="inlineStr">
        <is>
          <t>Diagram tests '&lt;6 months' before '&lt;2 months' (every &lt;2-month batch also matches &lt;6)</t>
        </is>
      </c>
      <c r="D33" s="11" t="inlineStr">
        <is>
          <t>-</t>
        </is>
      </c>
      <c r="E33" s="18" t="inlineStr">
        <is>
          <t>N/A</t>
        </is>
      </c>
      <c r="F33" s="11" t="inlineStr">
        <is>
          <t>Change paper</t>
        </is>
      </c>
      <c r="G33" s="11" t="inlineStr">
        <is>
          <t>Test &lt;2 months first.</t>
        </is>
      </c>
    </row>
    <row r="34">
      <c r="A34" s="11" t="inlineStr">
        <is>
          <t>2.13</t>
        </is>
      </c>
      <c r="B34" s="11" t="inlineStr">
        <is>
          <t>Find or create buyer account</t>
        </is>
      </c>
      <c r="C34" s="11" t="inlineStr">
        <is>
          <t>Search -&gt; if new, enter details, upload documents, save</t>
        </is>
      </c>
      <c r="D34" s="11" t="inlineStr">
        <is>
          <t>Accounts searchable; create with LTO/permit upload (js/admin-wholesale-accounts.js:270)</t>
        </is>
      </c>
      <c r="E34" s="13" t="inlineStr">
        <is>
          <t>Matches</t>
        </is>
      </c>
      <c r="F34" s="11" t="inlineStr">
        <is>
          <t>None</t>
        </is>
      </c>
      <c r="G34" s="11" t="inlineStr"/>
    </row>
    <row r="35">
      <c r="A35" s="11" t="inlineStr">
        <is>
          <t>2.13</t>
        </is>
      </c>
      <c r="B35" s="11" t="inlineStr">
        <is>
          <t>Check documents are current</t>
        </is>
      </c>
      <c r="C35" s="11" t="inlineStr">
        <is>
          <t>Text p.87: verify documents, upload renewals if expired. Diagram: 'View Buyer Documents' only</t>
        </is>
      </c>
      <c r="D35" s="11" t="inlineStr">
        <is>
          <t>5cad255: LTO/permit valid-until dates; expired documents block the order</t>
        </is>
      </c>
      <c r="E35" s="13" t="inlineStr">
        <is>
          <t>Matches</t>
        </is>
      </c>
      <c r="F35" s="11" t="inlineStr">
        <is>
          <t>None</t>
        </is>
      </c>
      <c r="G35" s="11" t="inlineStr">
        <is>
          <t>REQ086 expiry dates; add the validity check to the diagram.</t>
        </is>
      </c>
    </row>
    <row r="36">
      <c r="A36" s="11" t="inlineStr">
        <is>
          <t>2.13</t>
        </is>
      </c>
      <c r="B36" s="11" t="inlineStr">
        <is>
          <t>Purchase history</t>
        </is>
      </c>
      <c r="C36" s="11" t="inlineStr">
        <is>
          <t>View purchase history</t>
        </is>
      </c>
      <c r="D36" s="11" t="inlineStr">
        <is>
          <t>5cad255: Purchase History per buyer</t>
        </is>
      </c>
      <c r="E36" s="13" t="inlineStr">
        <is>
          <t>Matches</t>
        </is>
      </c>
      <c r="F36" s="11" t="inlineStr">
        <is>
          <t>None</t>
        </is>
      </c>
      <c r="G36" s="11" t="inlineStr">
        <is>
          <t>REQ089.</t>
        </is>
      </c>
    </row>
    <row r="37">
      <c r="A37" s="11" t="inlineStr">
        <is>
          <t>2.13</t>
        </is>
      </c>
      <c r="B37" s="11" t="inlineStr">
        <is>
          <t>Near-expiry items</t>
        </is>
      </c>
      <c r="C37" s="11" t="inlineStr">
        <is>
          <t>Enable free-of-cost pricing option for near-expiry items</t>
        </is>
      </c>
      <c r="D37" s="11" t="inlineStr">
        <is>
          <t>5cad255: free-of-cost option with reason and audit entry</t>
        </is>
      </c>
      <c r="E37" s="13" t="inlineStr">
        <is>
          <t>Matches</t>
        </is>
      </c>
      <c r="F37" s="11" t="inlineStr">
        <is>
          <t>None</t>
        </is>
      </c>
      <c r="G37" s="11" t="inlineStr">
        <is>
          <t>REQ091.</t>
        </is>
      </c>
    </row>
    <row r="38">
      <c r="A38" s="11" t="inlineStr">
        <is>
          <t>2.13</t>
        </is>
      </c>
      <c r="B38" s="11" t="inlineStr">
        <is>
          <t>Confirm -&gt; FEFO -&gt; sales invoice</t>
        </is>
      </c>
      <c r="C38" s="11" t="inlineStr">
        <is>
          <t>Confirm, FEFO deduction, generate sales invoice</t>
        </is>
      </c>
      <c r="D38" s="11" t="inlineStr">
        <is>
          <t>5cad255: sales invoice PDF with buyer, batch and expiry</t>
        </is>
      </c>
      <c r="E38" s="13" t="inlineStr">
        <is>
          <t>Matches</t>
        </is>
      </c>
      <c r="F38" s="11" t="inlineStr">
        <is>
          <t>None</t>
        </is>
      </c>
      <c r="G38" s="11" t="inlineStr">
        <is>
          <t>REQ092.</t>
        </is>
      </c>
    </row>
    <row r="39">
      <c r="A39" s="11" t="inlineStr">
        <is>
          <t>2.14</t>
        </is>
      </c>
      <c r="B39" s="11" t="inlineStr">
        <is>
          <t>Select products, confirm, FEFO</t>
        </is>
      </c>
      <c r="C39" s="11" t="inlineStr">
        <is>
          <t>Select products + qty -&gt; confirm -&gt; FEFO deduction</t>
        </is>
      </c>
      <c r="D39" s="11" t="inlineStr">
        <is>
          <t>Same, plus a review screen with Edit/Confirm, payment method and change</t>
        </is>
      </c>
      <c r="E39" s="13" t="inlineStr">
        <is>
          <t>Matches</t>
        </is>
      </c>
      <c r="F39" s="11" t="inlineStr">
        <is>
          <t>Change paper</t>
        </is>
      </c>
      <c r="G39" s="11" t="inlineStr">
        <is>
          <t>Optionally add the review step and payment method to the diagram.</t>
        </is>
      </c>
    </row>
    <row r="40">
      <c r="A40" s="11" t="inlineStr">
        <is>
          <t>2.14</t>
        </is>
      </c>
      <c r="B40" s="11" t="inlineStr">
        <is>
          <t>RX item</t>
        </is>
      </c>
      <c r="C40" s="11" t="inlineStr">
        <is>
          <t>Physically verify prescription -&gt; 'Mark RX as Verified' (drawn in the System lane)</t>
        </is>
      </c>
      <c r="D40" s="11" t="inlineStr">
        <is>
          <t>57f4d80: RX Verified checkbox + notes in POS</t>
        </is>
      </c>
      <c r="E40" s="13" t="inlineStr">
        <is>
          <t>Matches</t>
        </is>
      </c>
      <c r="F40" s="11" t="inlineStr">
        <is>
          <t>None</t>
        </is>
      </c>
      <c r="G40" s="11" t="inlineStr">
        <is>
          <t>Build REQ084. In the diagram, marking verified is a staff action, so it belongs in the staff lane.</t>
        </is>
      </c>
    </row>
    <row r="41">
      <c r="A41" s="11" t="inlineStr">
        <is>
          <t>2.14</t>
        </is>
      </c>
      <c r="B41" s="11" t="inlineStr">
        <is>
          <t>Print receipt</t>
        </is>
      </c>
      <c r="C41" s="11" t="inlineStr">
        <is>
          <t>System prints receipt</t>
        </is>
      </c>
      <c r="D41" s="11" t="inlineStr">
        <is>
          <t>57f4d80: Print button, 58mm layout</t>
        </is>
      </c>
      <c r="E41" s="13" t="inlineStr">
        <is>
          <t>Matches</t>
        </is>
      </c>
      <c r="F41" s="11" t="inlineStr">
        <is>
          <t>None</t>
        </is>
      </c>
      <c r="G41" s="11" t="inlineStr"/>
    </row>
    <row r="42">
      <c r="A42" s="11" t="inlineStr">
        <is>
          <t>2.14</t>
        </is>
      </c>
      <c r="B42" s="11" t="inlineStr">
        <is>
          <t>Void</t>
        </is>
      </c>
      <c r="C42" s="11" t="inlineStr">
        <is>
          <t>Not shown (text p.89 and Fig 2.6 include it)</t>
        </is>
      </c>
      <c r="D42" s="11" t="inlineStr">
        <is>
          <t>57f4d80: void built</t>
        </is>
      </c>
      <c r="E42" s="14" t="inlineStr">
        <is>
          <t>Partial</t>
        </is>
      </c>
      <c r="F42" s="11" t="inlineStr">
        <is>
          <t>Change paper</t>
        </is>
      </c>
      <c r="G42" s="11" t="inlineStr">
        <is>
          <t>Add the void branch to the diagram.</t>
        </is>
      </c>
    </row>
    <row r="43">
      <c r="A43" s="11" t="inlineStr">
        <is>
          <t>2.15</t>
        </is>
      </c>
      <c r="B43" s="11" t="inlineStr">
        <is>
          <t>Select buyer -&gt; order -&gt; returned item -&gt; replacement -&gt; reason</t>
        </is>
      </c>
      <c r="C43" s="11" t="inlineStr">
        <is>
          <t>As listed</t>
        </is>
      </c>
      <c r="D43" s="11" t="inlineStr">
        <is>
          <t>Not built</t>
        </is>
      </c>
      <c r="E43" s="15" t="inlineStr">
        <is>
          <t>Missing</t>
        </is>
      </c>
      <c r="F43" s="11" t="inlineStr">
        <is>
          <t>Change system</t>
        </is>
      </c>
      <c r="G43" s="11" t="inlineStr">
        <is>
          <t>REQ090.</t>
        </is>
      </c>
    </row>
    <row r="44">
      <c r="A44" s="11" t="inlineStr">
        <is>
          <t>2.15</t>
        </is>
      </c>
      <c r="B44" s="11" t="inlineStr">
        <is>
          <t>Inventory adjustment</t>
        </is>
      </c>
      <c r="C44" s="11" t="inlineStr">
        <is>
          <t>Diagram: FEFO deduction of the replacement only. Text p.91: returned item also added back to stock</t>
        </is>
      </c>
      <c r="D44" s="11" t="inlineStr">
        <is>
          <t>Not built</t>
        </is>
      </c>
      <c r="E44" s="15" t="inlineStr">
        <is>
          <t>Missing</t>
        </is>
      </c>
      <c r="F44" s="11" t="inlineStr">
        <is>
          <t>System + paper</t>
        </is>
      </c>
      <c r="G44" s="11" t="inlineStr">
        <is>
          <t>Add 'Return item to stock' to the diagram.</t>
        </is>
      </c>
    </row>
    <row r="45">
      <c r="A45" s="11" t="inlineStr">
        <is>
          <t>2.15</t>
        </is>
      </c>
      <c r="B45" s="11" t="inlineStr">
        <is>
          <t>Audit log + document</t>
        </is>
      </c>
      <c r="C45" s="11" t="inlineStr">
        <is>
          <t>Diagram: 'Generate Sales Invoice'. Text p.91: audit log entry + 'wholesale exchange document'</t>
        </is>
      </c>
      <c r="D45" s="11" t="inlineStr">
        <is>
          <t>Not built</t>
        </is>
      </c>
      <c r="E45" s="15" t="inlineStr">
        <is>
          <t>Missing</t>
        </is>
      </c>
      <c r="F45" s="11" t="inlineStr">
        <is>
          <t>System + paper</t>
        </is>
      </c>
      <c r="G45" s="11" t="inlineStr">
        <is>
          <t>Add the audit step and use one document name; REQ114 reports on these.</t>
        </is>
      </c>
    </row>
    <row r="46">
      <c r="A46" s="11" t="inlineStr">
        <is>
          <t>2.15</t>
        </is>
      </c>
      <c r="B46" s="11" t="inlineStr">
        <is>
          <t>Lane placement</t>
        </is>
      </c>
      <c r="C46" s="11" t="inlineStr">
        <is>
          <t>'Display Buyer Account and Order History' drawn in the Admin lane</t>
        </is>
      </c>
      <c r="D46" s="11" t="inlineStr">
        <is>
          <t>-</t>
        </is>
      </c>
      <c r="E46" s="18" t="inlineStr">
        <is>
          <t>N/A</t>
        </is>
      </c>
      <c r="F46" s="11" t="inlineStr">
        <is>
          <t>Change paper</t>
        </is>
      </c>
      <c r="G46" s="11" t="inlineStr">
        <is>
          <t>Move to the System lane.</t>
        </is>
      </c>
    </row>
  </sheetData>
  <autoFilter ref="A1:G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34" customWidth="1" min="4" max="4"/>
    <col width="52" customWidth="1" min="5" max="5"/>
  </cols>
  <sheetData>
    <row r="1">
      <c r="A1" s="10" t="inlineStr">
        <is>
          <t>ID</t>
        </is>
      </c>
      <c r="B1" s="10" t="inlineStr">
        <is>
          <t>Topic</t>
        </is>
      </c>
      <c r="C1" s="10" t="inlineStr">
        <is>
          <t>Where the paper (or client) disagrees</t>
        </is>
      </c>
      <c r="D1" s="10" t="inlineStr">
        <is>
          <t>What the system does</t>
        </is>
      </c>
      <c r="E1" s="10" t="inlineStr">
        <is>
          <t>Recommendation</t>
        </is>
      </c>
    </row>
    <row r="2">
      <c r="A2" s="11" t="inlineStr">
        <is>
          <t>C1</t>
        </is>
      </c>
      <c r="B2" s="11" t="inlineStr">
        <is>
          <t>Who sets 'Delivered', and is there a 'Received' step?</t>
        </is>
      </c>
      <c r="C2" s="11" t="inlineStr">
        <is>
          <t>REQ031 (no Received), REQ105 (customer confirmation finalizes Delivered), REQ106 (auto Delivered after 3 days), Modules p.39-40 (customer marks delivered), Interview 4 ('mark as delivered siya ni customer')</t>
        </is>
      </c>
      <c r="D2" s="11" t="inlineStr">
        <is>
          <t>Staff marks Delivered or it auto-advances after 3 days; customer then confirms 'Received'.</t>
        </is>
      </c>
      <c r="E2" s="11" t="inlineStr">
        <is>
          <t>Change paper: define Delivered (staff/auto) and Received (customer) in REQ031, REQ105, Fig 2.4 text.</t>
        </is>
      </c>
    </row>
    <row r="3">
      <c r="A3" s="11" t="inlineStr">
        <is>
          <t>C2</t>
        </is>
      </c>
      <c r="B3" s="11" t="inlineStr">
        <is>
          <t>Overpayment: hold or approve?</t>
        </is>
      </c>
      <c r="C3" s="11" t="inlineStr">
        <is>
          <t>REQ095, REQ098, Fig 2.6 text and Fig 2.11 text + diagram all treat overpayment as a hold (excess recorded as unapplied value) vs Interview 4 walkthrough (enter the excess; it goes to the customer's account for the next order; client agreed)</t>
        </is>
      </c>
      <c r="D3" s="11" t="inlineStr">
        <is>
          <t>Approves immediately and credits the excess.</t>
        </is>
      </c>
      <c r="E3" s="11" t="inlineStr">
        <is>
          <t>Change paper: rewrite REQ098 and Fig 2.6/2.11 to approve-and-credit; drop overpayment from the hold types.</t>
        </is>
      </c>
    </row>
    <row r="4">
      <c r="A4" s="11" t="inlineStr">
        <is>
          <t>C3</t>
        </is>
      </c>
      <c r="B4" s="11" t="inlineStr">
        <is>
          <t>Is prescription approval a separate step?</t>
        </is>
      </c>
      <c r="C4" s="11" t="inlineStr">
        <is>
          <t>REQ024, REQ077-079, Modules p.43, Conceptual Framework, Fig 2.10 text (dedicated RX queue, 'Pending Prescription Verification', approve/reject with reason) vs Fig 2.10 diagram (RX recorded as Pending Payment Verification) and Fig 2.11 text + diagram (RX confirmed like any order, verification in person)</t>
        </is>
      </c>
      <c r="D4" s="11" t="inlineStr">
        <is>
          <t>Same as Fig 2.10/2.11 diagrams (payment approval only).</t>
        </is>
      </c>
      <c r="E4" s="11" t="inlineStr">
        <is>
          <t>Change system to match REQ077-079; then fix Fig 2.10 and 2.11.</t>
        </is>
      </c>
    </row>
    <row r="5">
      <c r="A5" s="11" t="inlineStr">
        <is>
          <t>C4</t>
        </is>
      </c>
      <c r="B5" s="11" t="inlineStr">
        <is>
          <t>When can a walk-in sale be voided?</t>
        </is>
      </c>
      <c r="C5" s="11" t="inlineStr">
        <is>
          <t>REQ083 ('before finalization') and Fig 2.6 text ('void a completed transaction before finalization') vs Modules p.43 ('completed transactions may be voided', with original receipt number) vs Interview 4 (void after the receipt is printed, with receipt number, reason, optional exchange; not by a junior staff member alone)</t>
        </is>
      </c>
      <c r="D5" s="11" t="inlineStr">
        <is>
          <t>No void.</t>
        </is>
      </c>
      <c r="E5" s="11" t="inlineStr">
        <is>
          <t>Build void for completed sales with original receipt number; reword REQ083 and Fig 2.6/2.14 text to 'completed'.</t>
        </is>
      </c>
    </row>
    <row r="6">
      <c r="A6" s="11" t="inlineStr">
        <is>
          <t>C5</t>
        </is>
      </c>
      <c r="B6" s="11" t="inlineStr">
        <is>
          <t>Who does month-end reconciliation?</t>
        </is>
      </c>
      <c r="C6" s="11" t="inlineStr">
        <is>
          <t>REQ061 (Branch Manager finalizes) vs Modules p.42 ('authorized staff' submit) vs Fig 2.5 text ('Branch Manager may open') vs Fig 2.5 diagram (Technical Staff connected)</t>
        </is>
      </c>
      <c r="D6" s="11" t="inlineStr">
        <is>
          <t>Anyone with Inventory access opens and finalizes.</t>
        </is>
      </c>
      <c r="E6" s="11" t="inlineStr">
        <is>
          <t>Technical Staff counts, Branch Manager finalizes. Align REQ061, Fig 2.5 text, and system.</t>
        </is>
      </c>
    </row>
    <row r="7">
      <c r="A7" s="11" t="inlineStr">
        <is>
          <t>C6</t>
        </is>
      </c>
      <c r="B7" s="11" t="inlineStr">
        <is>
          <t>Who can view the audit log?</t>
        </is>
      </c>
      <c r="C7" s="11" t="inlineStr">
        <is>
          <t>Fig 2.2 text ('Branch Manager ... in addition to ... audit log review', implying BM-only) vs REQ123 and Fig 2.2 diagram (Technical Staff - View Audit Log)</t>
        </is>
      </c>
      <c r="D7" s="11" t="inlineStr">
        <is>
          <t>BM and Technical Staff.</t>
        </is>
      </c>
      <c r="E7" s="11" t="inlineStr">
        <is>
          <t>Change paper: fix the Fig 2.2 description sentence.</t>
        </is>
      </c>
    </row>
    <row r="8">
      <c r="A8" s="11" t="inlineStr">
        <is>
          <t>C7</t>
        </is>
      </c>
      <c r="B8" s="11" t="inlineStr">
        <is>
          <t>Near-expiry rules</t>
        </is>
      </c>
      <c r="C8" s="11" t="inlineStr">
        <is>
          <t>REQ066 (6 months: remove + free-of-cost wholesale), REQ067 (2 months: Bad Order + auto-deduct), Modules FEFO p.41 (6-month pull-out only), Conceptual Framework (6-month pull-out, 2-month disposal), Interview 1 (6 months pull-out, 2 months BO)</t>
        </is>
      </c>
      <c r="D8" s="11" t="inlineStr">
        <is>
          <t>6-month wholesale-only flag; no 2-month handling.</t>
        </is>
      </c>
      <c r="E8" s="11" t="inlineStr">
        <is>
          <t>Build 2-month Bad Order; add it to the Modules FEFO paragraph.</t>
        </is>
      </c>
    </row>
    <row r="9">
      <c r="A9" s="11" t="inlineStr">
        <is>
          <t>C8</t>
        </is>
      </c>
      <c r="B9" s="11" t="inlineStr">
        <is>
          <t>Price change reason</t>
        </is>
      </c>
      <c r="C9" s="11" t="inlineStr">
        <is>
          <t>REQ073 (previous price, new price, timestamp) vs REQ122 (reason for each entry) vs Interview 2 (client requires reason and date)</t>
        </is>
      </c>
      <c r="D9" s="11" t="inlineStr">
        <is>
          <t>No reason captured.</t>
        </is>
      </c>
      <c r="E9" s="11" t="inlineStr">
        <is>
          <t>System + paper: add a reason field; add 'reason' to REQ073.</t>
        </is>
      </c>
    </row>
    <row r="10">
      <c r="A10" s="11" t="inlineStr">
        <is>
          <t>C9</t>
        </is>
      </c>
      <c r="B10" s="11" t="inlineStr">
        <is>
          <t>Wholesale 'agreed pricing'</t>
        </is>
      </c>
      <c r="C10" s="11" t="inlineStr">
        <is>
          <t>REQ085/087 (per-account agreed pricing) vs Interview 2 (special price for wholesalers, retail price online)</t>
        </is>
      </c>
      <c r="D10" s="11" t="inlineStr">
        <is>
          <t>Product-level wholesale price, editable per order.</t>
        </is>
      </c>
      <c r="E10" s="11" t="inlineStr">
        <is>
          <t>Change paper: describe a default wholesale price per product, adjustable per order.</t>
        </is>
      </c>
    </row>
    <row r="11">
      <c r="A11" s="11" t="inlineStr">
        <is>
          <t>C10</t>
        </is>
      </c>
      <c r="B11" s="11" t="inlineStr">
        <is>
          <t>Email verification destination</t>
        </is>
      </c>
      <c r="C11" s="11" t="inlineStr">
        <is>
          <t>Fig 2.9 text + diagram (after verification, go to Login)</t>
        </is>
      </c>
      <c r="D11" s="11" t="inlineStr">
        <is>
          <t>Redirects straight to the shop (already signed in).</t>
        </is>
      </c>
      <c r="E11" s="11" t="inlineStr">
        <is>
          <t>Change paper (minor).</t>
        </is>
      </c>
    </row>
    <row r="12">
      <c r="A12" s="11" t="inlineStr">
        <is>
          <t>C11</t>
        </is>
      </c>
      <c r="B12" s="11" t="inlineStr">
        <is>
          <t>Overall diagram completeness</t>
        </is>
      </c>
      <c r="C12" s="11" t="inlineStr">
        <is>
          <t>Fig 2.2 has no Create Purchase Order, Batch Upload, Verify Prescription, Payment Verification, Delivery, Customer Accounts, Suppliers, Notifications, Wholesale Exchange (all appear in Figs 2.5-2.7); 'Manage Live Chat' has no actor in 2.2 but is linked to Technical Staff in 2.7</t>
        </is>
      </c>
      <c r="D12" s="11" t="inlineStr">
        <is>
          <t>-</t>
        </is>
      </c>
      <c r="E12" s="11" t="inlineStr">
        <is>
          <t>Change paper: add the missing bubbles to 2.2 or say it's a summary; connect Manage Live Chat.</t>
        </is>
      </c>
    </row>
    <row r="13">
      <c r="A13" s="11" t="inlineStr">
        <is>
          <t>C12</t>
        </is>
      </c>
      <c r="B13" s="11" t="inlineStr">
        <is>
          <t>Pre-order naming</t>
        </is>
      </c>
      <c r="C13" s="11" t="inlineStr">
        <is>
          <t>Fig 2.2 'Process Prescription Pre Order' vs Fig 2.4 'Submit Prescription Pre-Order'</t>
        </is>
      </c>
      <c r="D13" s="11" t="inlineStr">
        <is>
          <t>-</t>
        </is>
      </c>
      <c r="E13" s="11" t="inlineStr">
        <is>
          <t>Change paper: use one name.</t>
        </is>
      </c>
    </row>
    <row r="14">
      <c r="A14" s="11" t="inlineStr">
        <is>
          <t>C13</t>
        </is>
      </c>
      <c r="B14" s="11" t="inlineStr">
        <is>
          <t>Wrong OTP at login</t>
        </is>
      </c>
      <c r="C14" s="11" t="inlineStr">
        <is>
          <t>Fig 2.8 diagram (wrong OTP feeds the failed-attempt counter) vs Fig 2.8 text p.77 (prompted to request a new OTP)</t>
        </is>
      </c>
      <c r="D14" s="11" t="inlineStr">
        <is>
          <t>No OTP yet.</t>
        </is>
      </c>
      <c r="E14" s="11" t="inlineStr">
        <is>
          <t>Pick one when building REQ005/044; update the other.</t>
        </is>
      </c>
    </row>
    <row r="15">
      <c r="A15" s="11" t="inlineStr">
        <is>
          <t>C14</t>
        </is>
      </c>
      <c r="B15" s="11" t="inlineStr">
        <is>
          <t>Registration order</t>
        </is>
      </c>
      <c r="C15" s="11" t="inlineStr">
        <is>
          <t>Fig 2.9 (validate, duplicate check, then Terms) vs system (Terms when ticking the checkbox, duplicate check at account creation)</t>
        </is>
      </c>
      <c r="D15" s="11" t="inlineStr">
        <is>
          <t>See left.</t>
        </is>
      </c>
      <c r="E15" s="11" t="inlineStr">
        <is>
          <t>Change paper: Terms before submit; duplicate check after.</t>
        </is>
      </c>
    </row>
    <row r="16">
      <c r="A16" s="11" t="inlineStr">
        <is>
          <t>C15</t>
        </is>
      </c>
      <c r="B16" s="11" t="inlineStr">
        <is>
          <t>RX in the purchasing flow</t>
        </is>
      </c>
      <c r="C16" s="11" t="inlineStr">
        <is>
          <t>Fig 2.10 diagram (RX checked after address and payment upload; no prescription upload) vs Fig 2.10 text p.81 and REQ021/023 (RX decided first, pick-up only, prescription photo required)</t>
        </is>
      </c>
      <c r="D16" s="11" t="inlineStr">
        <is>
          <t>Matches the text, not the diagram.</t>
        </is>
      </c>
      <c r="E16" s="11" t="inlineStr">
        <is>
          <t>Change paper: redraw the RX branch in Fig 2.10.</t>
        </is>
      </c>
    </row>
    <row r="17">
      <c r="A17" s="11" t="inlineStr">
        <is>
          <t>C16</t>
        </is>
      </c>
      <c r="B17" s="11" t="inlineStr">
        <is>
          <t>Order submission notification</t>
        </is>
      </c>
      <c r="C17" s="11" t="inlineStr">
        <is>
          <t>Fig 2.10 (system notifies customer on submission) vs REQ039 (order confirmations)</t>
        </is>
      </c>
      <c r="D17" s="11" t="inlineStr">
        <is>
          <t>No notification on submission.</t>
        </is>
      </c>
      <c r="E17" s="11" t="inlineStr">
        <is>
          <t>Change system (small).</t>
        </is>
      </c>
    </row>
    <row r="18">
      <c r="A18" s="11" t="inlineStr">
        <is>
          <t>C17</t>
        </is>
      </c>
      <c r="B18" s="11" t="inlineStr">
        <is>
          <t>RX pre-orders and couriers</t>
        </is>
      </c>
      <c r="C18" s="11" t="inlineStr">
        <is>
          <t>Fig 2.11 diagram (courier booked and tracking link sent before the RX check) vs REQ023/080 (never delivered)</t>
        </is>
      </c>
      <c r="D18" s="11" t="inlineStr">
        <is>
          <t>RX skips courier booking.</t>
        </is>
      </c>
      <c r="E18" s="11" t="inlineStr">
        <is>
          <t>Change paper: branch RX before the courier steps.</t>
        </is>
      </c>
    </row>
    <row r="19">
      <c r="A19" s="11" t="inlineStr">
        <is>
          <t>C18</t>
        </is>
      </c>
      <c r="B19" s="11" t="inlineStr">
        <is>
          <t>Resolving a hold</t>
        </is>
      </c>
      <c r="C19" s="11" t="inlineStr">
        <is>
          <t>Fig 2.11 diagram (customer resolution without re-upload confirms the order automatically) vs REQ101 (admin approval confirms)</t>
        </is>
      </c>
      <c r="D19" s="11" t="inlineStr">
        <is>
          <t>Every resolution goes back to staff.</t>
        </is>
      </c>
      <c r="E19" s="11" t="inlineStr">
        <is>
          <t>Change paper.</t>
        </is>
      </c>
    </row>
    <row r="20">
      <c r="A20" s="11" t="inlineStr">
        <is>
          <t>C19</t>
        </is>
      </c>
      <c r="B20" s="11" t="inlineStr">
        <is>
          <t>Stock check at confirmation</t>
        </is>
      </c>
      <c r="C20" s="11" t="inlineStr">
        <is>
          <t>Fig 2.11 (notify confirmed, then FEFO deduction; no shortage path) vs REQ050</t>
        </is>
      </c>
      <c r="D20" s="11" t="inlineStr">
        <is>
          <t>Deducts first; shortage puts the order on an Out of Stock hold.</t>
        </is>
      </c>
      <c r="E20" s="11" t="inlineStr">
        <is>
          <t>Change paper: add the out-of-stock hold branch.</t>
        </is>
      </c>
    </row>
  </sheetData>
  <autoFilter ref="A1:E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18" customWidth="1" min="4" max="4"/>
    <col width="60" customWidth="1" min="5" max="5"/>
  </cols>
  <sheetData>
    <row r="1">
      <c r="A1" s="10" t="inlineStr">
        <is>
          <t>Area</t>
        </is>
      </c>
      <c r="B1" s="10" t="inlineStr">
        <is>
          <t>Paper says</t>
        </is>
      </c>
      <c r="C1" s="10" t="inlineStr">
        <is>
          <t>System uses</t>
        </is>
      </c>
      <c r="D1" s="10" t="inlineStr">
        <is>
          <t>Recommendation</t>
        </is>
      </c>
      <c r="E1" s="10" t="inlineStr">
        <is>
          <t>Notes</t>
        </is>
      </c>
    </row>
    <row r="2">
      <c r="A2" s="11" t="inlineStr">
        <is>
          <t>Image/file storage</t>
        </is>
      </c>
      <c r="B2" s="11" t="inlineStr">
        <is>
          <t>Google Firebase cloud storage (pp.35-36)</t>
        </is>
      </c>
      <c r="C2" s="11" t="inlineStr">
        <is>
          <t>Cloudinary (js/cloudinary.js)</t>
        </is>
      </c>
      <c r="D2" s="11" t="inlineStr">
        <is>
          <t>Change paper</t>
        </is>
      </c>
      <c r="E2" s="11" t="inlineStr">
        <is>
          <t>Firebase Storage needs the Blaze plan; Cloudinary is free. Name it in Technical Background and Software list.</t>
        </is>
      </c>
    </row>
    <row r="3">
      <c r="A3" s="11" t="inlineStr">
        <is>
          <t>Hosting</t>
        </is>
      </c>
      <c r="B3" s="11" t="inlineStr">
        <is>
          <t>Netlify (pp.35, 37, Budget)</t>
        </is>
      </c>
      <c r="C3" s="11" t="inlineStr">
        <is>
          <t>Netlify (set up); local http-server for testing</t>
        </is>
      </c>
      <c r="D3" s="11" t="inlineStr">
        <is>
          <t>None</t>
        </is>
      </c>
      <c r="E3" s="11" t="inlineStr">
        <is>
          <t>DECIDED: stay on Netlify. Budget row must match the chosen plan; Netlify Functions host the OpenAI call.</t>
        </is>
      </c>
    </row>
    <row r="4">
      <c r="A4" s="11" t="inlineStr">
        <is>
          <t>Tables</t>
        </is>
      </c>
      <c r="B4" s="11" t="inlineStr">
        <is>
          <t>DataTable (pp.35, 37)</t>
        </is>
      </c>
      <c r="C4" s="11" t="inlineStr">
        <is>
          <t>Custom tables with search/sort/pagination</t>
        </is>
      </c>
      <c r="D4" s="11" t="inlineStr">
        <is>
          <t>Change paper</t>
        </is>
      </c>
      <c r="E4" s="11" t="inlineStr">
        <is>
          <t>Remove DataTable or describe as custom-built.</t>
        </is>
      </c>
    </row>
    <row r="5">
      <c r="A5" s="11" t="inlineStr">
        <is>
          <t>Searchable dropdowns</t>
        </is>
      </c>
      <c r="B5" s="11" t="inlineStr">
        <is>
          <t>Not mentioned</t>
        </is>
      </c>
      <c r="C5" s="11" t="inlineStr">
        <is>
          <t>Choices.js</t>
        </is>
      </c>
      <c r="D5" s="11" t="inlineStr">
        <is>
          <t>Change paper</t>
        </is>
      </c>
      <c r="E5" s="11" t="inlineStr">
        <is>
          <t>Add to Software list.</t>
        </is>
      </c>
    </row>
    <row r="6">
      <c r="A6" s="11" t="inlineStr">
        <is>
          <t>Email</t>
        </is>
      </c>
      <c r="B6" s="11" t="inlineStr">
        <is>
          <t>EmailJS for OTP, order confirmations, password reset (p.36)</t>
        </is>
      </c>
      <c r="C6" s="11" t="inlineStr">
        <is>
          <t>EmailJS for OTP only; password reset by Firebase Auth; no order emails</t>
        </is>
      </c>
      <c r="D6" s="11" t="inlineStr">
        <is>
          <t>System + paper</t>
        </is>
      </c>
      <c r="E6" s="11" t="inlineStr">
        <is>
          <t>Order emails are REQ039 (system). Password reset wording is paper.</t>
        </is>
      </c>
    </row>
    <row r="7">
      <c r="A7" s="11" t="inlineStr">
        <is>
          <t>AI chat</t>
        </is>
      </c>
      <c r="B7" s="11" t="inlineStr">
        <is>
          <t>OpenAI API (pp.35, 37)</t>
        </is>
      </c>
      <c r="C7" s="11" t="inlineStr">
        <is>
          <t>Not integrated yet</t>
        </is>
      </c>
      <c r="D7" s="11" t="inlineStr">
        <is>
          <t>Change system</t>
        </is>
      </c>
      <c r="E7" s="11" t="inlineStr">
        <is>
          <t>DECIDED: Gemini via Firebase AI Logic (free tier, no server needed); Groq as fallback. In the panel letter.</t>
        </is>
      </c>
    </row>
    <row r="8">
      <c r="A8" s="11" t="inlineStr">
        <is>
          <t>Receipt printing</t>
        </is>
      </c>
      <c r="B8" s="11" t="inlineStr">
        <is>
          <t>Thermal receipt printing (pp.33, 44, 89)</t>
        </is>
      </c>
      <c r="C8" s="11" t="inlineStr">
        <is>
          <t>No print</t>
        </is>
      </c>
      <c r="D8" s="11" t="inlineStr">
        <is>
          <t>Change system</t>
        </is>
      </c>
      <c r="E8" s="11" t="inlineStr">
        <is>
          <t>Browser print with a 58mm print stylesheet covers it.</t>
        </is>
      </c>
    </row>
    <row r="9">
      <c r="A9" s="11" t="inlineStr">
        <is>
          <t>Payment</t>
        </is>
      </c>
      <c r="B9" s="11" t="inlineStr">
        <is>
          <t>QR PH static QR + screenshot</t>
        </is>
      </c>
      <c r="C9" s="11" t="inlineStr">
        <is>
          <t>QR PH image file missing from repo</t>
        </is>
      </c>
      <c r="D9" s="11" t="inlineStr">
        <is>
          <t>Change system</t>
        </is>
      </c>
      <c r="E9" s="11" t="inlineStr">
        <is>
          <t>Add the client's QR image.</t>
        </is>
      </c>
    </row>
    <row r="10">
      <c r="A10" s="11" t="inlineStr">
        <is>
          <t>Charts / PDF / Excel</t>
        </is>
      </c>
      <c r="B10" s="11" t="inlineStr">
        <is>
          <t>Chart.js, jsPDF, SheetJS</t>
        </is>
      </c>
      <c r="C10" s="11" t="inlineStr">
        <is>
          <t>Same</t>
        </is>
      </c>
      <c r="D10" s="11" t="inlineStr">
        <is>
          <t>None</t>
        </is>
      </c>
      <c r="E10" s="11" t="inlineStr"/>
    </row>
    <row r="11">
      <c r="A11" s="11" t="inlineStr">
        <is>
          <t>Database wording</t>
        </is>
      </c>
      <c r="B11" s="11" t="inlineStr">
        <is>
          <t>'Real-time database' (p.35-36)</t>
        </is>
      </c>
      <c r="C11" s="11" t="inlineStr">
        <is>
          <t>Cloud Firestore (one-time reads, not live listeners)</t>
        </is>
      </c>
      <c r="D11" s="11" t="inlineStr">
        <is>
          <t>Change paper</t>
        </is>
      </c>
      <c r="E11" s="11" t="inlineStr">
        <is>
          <t>Name the product correctly; see REQNF005 on live updates.</t>
        </is>
      </c>
    </row>
    <row r="12">
      <c r="A12" s="11" t="inlineStr">
        <is>
          <t>Icons / fonts</t>
        </is>
      </c>
      <c r="B12" s="11" t="inlineStr">
        <is>
          <t>Not mentioned</t>
        </is>
      </c>
      <c r="C12" s="11" t="inlineStr">
        <is>
          <t>Bootstrap Icons, Google Fonts (Roboto)</t>
        </is>
      </c>
      <c r="D12" s="11" t="inlineStr">
        <is>
          <t>Change paper</t>
        </is>
      </c>
      <c r="E12" s="11" t="inlineStr">
        <is>
          <t>Add to Software list.</t>
        </is>
      </c>
    </row>
    <row r="13">
      <c r="A13" s="11" t="inlineStr">
        <is>
          <t>Version control / CI</t>
        </is>
      </c>
      <c r="B13" s="11" t="inlineStr">
        <is>
          <t>Netlify continuous integration with the repo</t>
        </is>
      </c>
      <c r="C13" s="11" t="inlineStr">
        <is>
          <t>GitHub repo (phobiaax/Amson, branch webapp); no CI/deploy</t>
        </is>
      </c>
      <c r="D13" s="11" t="inlineStr">
        <is>
          <t>Change paper</t>
        </is>
      </c>
      <c r="E13" s="11" t="inlineStr">
        <is>
          <t>Add Git/GitHub; CI depends on hosting decision.</t>
        </is>
      </c>
    </row>
    <row r="14">
      <c r="A14" s="11" t="inlineStr">
        <is>
          <t>Local serving</t>
        </is>
      </c>
      <c r="B14" s="11" t="inlineStr">
        <is>
          <t>Not mentioned</t>
        </is>
      </c>
      <c r="C14" s="11" t="inlineStr">
        <is>
          <t>Node.js http-server via start-server.bat</t>
        </is>
      </c>
      <c r="D14" s="11" t="inlineStr">
        <is>
          <t>Change paper</t>
        </is>
      </c>
      <c r="E14" s="11" t="inlineStr">
        <is>
          <t>Mention for the demo setup.</t>
        </is>
      </c>
    </row>
    <row r="15">
      <c r="A15" s="11" t="inlineStr">
        <is>
          <t>Mockup tool</t>
        </is>
      </c>
      <c r="B15" s="11" t="inlineStr">
        <is>
          <t>Canva (p.38) vs 'Creation of Figma' (Gantt p.97)</t>
        </is>
      </c>
      <c r="C15" s="11" t="inlineStr">
        <is>
          <t>-</t>
        </is>
      </c>
      <c r="D15" s="11" t="inlineStr">
        <is>
          <t>Change paper</t>
        </is>
      </c>
      <c r="E15" s="11" t="inlineStr">
        <is>
          <t>Use one name.</t>
        </is>
      </c>
    </row>
    <row r="16">
      <c r="A16" s="11" t="inlineStr">
        <is>
          <t>Dashboard analytics</t>
        </is>
      </c>
      <c r="B16" s="11" t="inlineStr">
        <is>
          <t>Chart.js for sales and inventory movement</t>
        </is>
      </c>
      <c r="C16" s="11" t="inlineStr">
        <is>
          <t>Sales charts only; inventory as count tiles</t>
        </is>
      </c>
      <c r="D16" s="11" t="inlineStr">
        <is>
          <t>Change paper</t>
        </is>
      </c>
      <c r="E16" s="11" t="inlineStr">
        <is>
          <t>Reword or add an inventory chart.</t>
        </is>
      </c>
    </row>
    <row r="17">
      <c r="A17" s="11" t="inlineStr">
        <is>
          <t>CAPTCHA</t>
        </is>
      </c>
      <c r="B17" s="11" t="inlineStr">
        <is>
          <t>Google reCAPTCHA</t>
        </is>
      </c>
      <c r="C17" s="11" t="inlineStr">
        <is>
          <t>Same</t>
        </is>
      </c>
      <c r="D17" s="11" t="inlineStr">
        <is>
          <t>None</t>
        </is>
      </c>
      <c r="E17" s="11" t="inlineStr"/>
    </row>
    <row r="18">
      <c r="A18" s="11" t="inlineStr">
        <is>
          <t>Auth / database</t>
        </is>
      </c>
      <c r="B18" s="11" t="inlineStr">
        <is>
          <t>Firebase Auth + Firestore</t>
        </is>
      </c>
      <c r="C18" s="11" t="inlineStr">
        <is>
          <t>Same</t>
        </is>
      </c>
      <c r="D18" s="11" t="inlineStr">
        <is>
          <t>None</t>
        </is>
      </c>
      <c r="E18" s="11" t="inlineStr"/>
    </row>
  </sheetData>
  <autoFilter ref="A1:E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0" t="inlineStr">
        <is>
          <t>Where in the manuscript</t>
        </is>
      </c>
      <c r="B1" s="10" t="inlineStr">
        <is>
          <t>Change</t>
        </is>
      </c>
    </row>
    <row r="2">
      <c r="A2" s="11" t="inlineStr">
        <is>
          <t>REQ007 / Technical Background p.35-36</t>
        </is>
      </c>
      <c r="B2" s="11" t="inlineStr">
        <is>
          <t>Password reset link is sent by Firebase Authentication, not EmailJS.</t>
        </is>
      </c>
    </row>
    <row r="3">
      <c r="A3" s="11" t="inlineStr">
        <is>
          <t>REQ008 p.47; Modules p.38</t>
        </is>
      </c>
      <c r="B3" s="11" t="inlineStr">
        <is>
          <t>Drop 'promotions' unless you plan them; keep 'announcements' (banner to be built).</t>
        </is>
      </c>
    </row>
    <row r="4">
      <c r="A4" s="11" t="inlineStr">
        <is>
          <t>REQ031 p.50</t>
        </is>
      </c>
      <c r="B4" s="11" t="inlineStr">
        <is>
          <t>Replace status list with: Pending Verification, Payment Confirmed, Dispatched / Ready for Pick-up, Delivered, Received / Picked Up, On Hold (with type), Closed (Unresolved).</t>
        </is>
      </c>
    </row>
    <row r="5">
      <c r="A5" s="11" t="inlineStr">
        <is>
          <t>REQ073 p.55</t>
        </is>
      </c>
      <c r="B5" s="11" t="inlineStr">
        <is>
          <t>Add 'and the stated reason' (client requirement, Interview 2) - after the reason field is built.</t>
        </is>
      </c>
    </row>
    <row r="6">
      <c r="A6" s="11" t="inlineStr">
        <is>
          <t>REQ083 p.56; Fig 2.6 text p.73; Fig 2.14 text p.89</t>
        </is>
      </c>
      <c r="B6" s="11" t="inlineStr">
        <is>
          <t>Void applies to completed transactions, referencing the original receipt number (C4).</t>
        </is>
      </c>
    </row>
    <row r="7">
      <c r="A7" s="11" t="inlineStr">
        <is>
          <t>REQ085, REQ087 p.57; Modules p.44</t>
        </is>
      </c>
      <c r="B7" s="11" t="inlineStr">
        <is>
          <t>Default wholesale price per product, adjustable per order (C9).</t>
        </is>
      </c>
    </row>
    <row r="8">
      <c r="A8" s="11" t="inlineStr">
        <is>
          <t>REQ095, REQ098 p.58-59; Fig 2.6 text p.74; Fig 2.11 text p.83</t>
        </is>
      </c>
      <c r="B8" s="11" t="inlineStr">
        <is>
          <t>Overpayment is approved and the excess is added to the customer's store credit; three hold types plus overpayment-approval (C2).</t>
        </is>
      </c>
    </row>
    <row r="9">
      <c r="A9" s="11" t="inlineStr">
        <is>
          <t>REQ105 p.60; Fig 2.4 text p.71; Modules p.39-40</t>
        </is>
      </c>
      <c r="B9" s="11" t="inlineStr">
        <is>
          <t>Delivered is set by staff (or automatically after 3 days); the customer's confirmation marks it Received (C1).</t>
        </is>
      </c>
    </row>
    <row r="10">
      <c r="A10" s="11" t="inlineStr">
        <is>
          <t>REQ121 p.61</t>
        </is>
      </c>
      <c r="B10" s="11" t="inlineStr">
        <is>
          <t>Only if you keep Sales Staff access to Walk-in Orders history: add it to REQ121.</t>
        </is>
      </c>
    </row>
    <row r="11">
      <c r="A11" s="11" t="inlineStr">
        <is>
          <t>Fig 2.2 text p.67</t>
        </is>
      </c>
      <c r="B11" s="11" t="inlineStr">
        <is>
          <t>Audit log is available to Technical Staff and Branch Manager (C6).</t>
        </is>
      </c>
    </row>
    <row r="12">
      <c r="A12" s="11" t="inlineStr">
        <is>
          <t>Fig 2.2 diagram</t>
        </is>
      </c>
      <c r="B12" s="11" t="inlineStr">
        <is>
          <t>Connect 'Manage Live Chat' to Technical Staff; add missing bubbles or label as summary (C11); one name for the pre-order use case (C12).</t>
        </is>
      </c>
    </row>
    <row r="13">
      <c r="A13" s="11" t="inlineStr">
        <is>
          <t>Fig 2.5 text p.72</t>
        </is>
      </c>
      <c r="B13" s="11" t="inlineStr">
        <is>
          <t>Technical Staff opens/counts; Branch Manager finalizes (C5).</t>
        </is>
      </c>
    </row>
    <row r="14">
      <c r="A14" s="11" t="inlineStr">
        <is>
          <t>Fig 2.2 / 2.7 diagrams</t>
        </is>
      </c>
      <c r="B14" s="11" t="inlineStr">
        <is>
          <t>Overpayment, free-of-cost distribution: no bubble anywhere; add 'Record Free-of-Cost Distribution' under Manage Wholesale Accounts if REQ091 stays.</t>
        </is>
      </c>
    </row>
    <row r="15">
      <c r="A15" s="11" t="inlineStr">
        <is>
          <t>Fig 2.8 diagram + text p.76-77</t>
        </is>
      </c>
      <c r="B15" s="11" t="inlineStr">
        <is>
          <t>Add reCAPTCHA, locked-account check, deactivated-account check, unverified-email redirect; make the wrong-OTP path match the text (C13).</t>
        </is>
      </c>
    </row>
    <row r="16">
      <c r="A16" s="11" t="inlineStr">
        <is>
          <t>Fig 2.9 diagram + text p.78-79</t>
        </is>
      </c>
      <c r="B16" s="11" t="inlineStr">
        <is>
          <t>Terms accepted before submit, duplicate email caught at account creation (C14); add Resend Code; end at the shop, signed in (C10).</t>
        </is>
      </c>
    </row>
    <row r="17">
      <c r="A17" s="11" t="inlineStr">
        <is>
          <t>Fig 2.10 diagram</t>
        </is>
      </c>
      <c r="B17" s="11" t="inlineStr">
        <is>
          <t>Move the RX decision to the start of checkout; RX skips the address; add Upload Prescription Photo (C15); optionally add delivery schedule and store credit.</t>
        </is>
      </c>
    </row>
    <row r="18">
      <c r="A18" s="11" t="inlineStr">
        <is>
          <t>Fig 2.11 diagram + text p.82-83</t>
        </is>
      </c>
      <c r="B18" s="11" t="inlineStr">
        <is>
          <t>Prescription approval/rejection before confirmation (C3, after it is built); RX skips courier steps (C17); resolved holds return to admin review (C18); stock shortage -&gt; Out of Stock hold (C19); overpayment approved with credit (C2); expired holds closed by the System lane, credit kept.</t>
        </is>
      </c>
    </row>
    <row r="19">
      <c r="A19" s="11" t="inlineStr">
        <is>
          <t>Modules FEFO p.41</t>
        </is>
      </c>
      <c r="B19" s="11" t="inlineStr">
        <is>
          <t>Add the 2-month Bad Order step (C7).</t>
        </is>
      </c>
    </row>
    <row r="20">
      <c r="A20" s="11" t="inlineStr">
        <is>
          <t>Technical Background p.35-37; Budget p.99</t>
        </is>
      </c>
      <c r="B20" s="11" t="inlineStr">
        <is>
          <t>Cloudinary instead of Firebase Storage; Choices.js added; DataTable removed; hosting per decision (Tech Stack sheet).</t>
        </is>
      </c>
    </row>
    <row r="21">
      <c r="A21" s="11" t="inlineStr">
        <is>
          <t>Scope p.6; Product Browsing REQ009</t>
        </is>
      </c>
      <c r="B21" s="11" t="inlineStr">
        <is>
          <t>The client also sells medical supplies and grocery items (monthly report); the paper only mentions OTC/prescription medicines. Mention them, or exclude them on purpose.</t>
        </is>
      </c>
    </row>
    <row r="22">
      <c r="A22" s="11" t="inlineStr">
        <is>
          <t>Scope and Limitations p.7</t>
        </is>
      </c>
      <c r="B22" s="11" t="inlineStr">
        <is>
          <t>Add: system receipts/invoices are internal records, not BIR-registered official receipts; BIR/VAT receipts stay manual on request; no BIR or government integration (client policy, Interview 1).</t>
        </is>
      </c>
    </row>
    <row r="23">
      <c r="A23" s="11" t="inlineStr">
        <is>
          <t>Decision-dependent</t>
        </is>
      </c>
      <c r="B23" s="11" t="inlineStr">
        <is>
          <t>Live chat/AI (Obj. 1, Scope, Framework, REQ035-038, REQ108-110, NF008, NF012); real-time refresh (NF005); hosting (NF013); wholesale price visibility (REQ088).</t>
        </is>
      </c>
    </row>
  </sheetData>
  <autoFilter ref="A1:B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56" customWidth="1" min="4" max="4"/>
    <col width="34" customWidth="1" min="5" max="5"/>
  </cols>
  <sheetData>
    <row r="1">
      <c r="A1" s="10" t="inlineStr">
        <is>
          <t>Change</t>
        </is>
      </c>
      <c r="B1" s="10" t="inlineStr">
        <is>
          <t>Paper location</t>
        </is>
      </c>
      <c r="C1" s="10" t="inlineStr">
        <is>
          <t>What gets removed / narrowed</t>
        </is>
      </c>
      <c r="D1" s="10" t="inlineStr">
        <is>
          <t>How to avoid the letter</t>
        </is>
      </c>
      <c r="E1" s="10" t="inlineStr">
        <is>
          <t>Recommendation</t>
        </is>
      </c>
    </row>
    <row r="2">
      <c r="A2" s="11" t="inlineStr">
        <is>
          <t>Promotions on the home page</t>
        </is>
      </c>
      <c r="B2" s="11" t="inlineStr">
        <is>
          <t>REQ008 p.47; Modules p.38</t>
        </is>
      </c>
      <c r="C2" s="11" t="inlineStr">
        <is>
          <t>'promotions' dropped</t>
        </is>
      </c>
      <c r="D2" s="11" t="inlineStr">
        <is>
          <t>Build a simple promotions/announcements banner (same component as the store-closure banner)</t>
        </is>
      </c>
      <c r="E2" s="11" t="inlineStr">
        <is>
          <t>Building - no letter (S)</t>
        </is>
      </c>
    </row>
    <row r="3">
      <c r="A3" s="11" t="inlineStr">
        <is>
          <t>'Payment Rejected' order status</t>
        </is>
      </c>
      <c r="B3" s="11" t="inlineStr">
        <is>
          <t>REQ031 p.50</t>
        </is>
      </c>
      <c r="C3" s="11" t="inlineStr">
        <is>
          <t>Status list replaced; 'Payment Rejected' no longer exists</t>
        </is>
      </c>
      <c r="D3" s="11" t="inlineStr">
        <is>
          <t>Show invalid-payment holds to the customer as 'Payment Rejected - re-upload needed'</t>
        </is>
      </c>
      <c r="E3" s="11" t="inlineStr">
        <is>
          <t>Building - no letter (S)</t>
        </is>
      </c>
    </row>
    <row r="4">
      <c r="A4" s="11" t="inlineStr">
        <is>
          <t>Per-account agreed wholesale pricing</t>
        </is>
      </c>
      <c r="B4" s="11" t="inlineStr">
        <is>
          <t>REQ085, REQ087 p.57; Modules p.44</t>
        </is>
      </c>
      <c r="C4" s="11" t="inlineStr">
        <is>
          <t>Agreed price per buyer replaced by one wholesale price per product</t>
        </is>
      </c>
      <c r="D4" s="11" t="inlineStr">
        <is>
          <t>Add an optional agreed price per buyer per product, used as the default on their orders</t>
        </is>
      </c>
      <c r="E4" s="11" t="inlineStr">
        <is>
          <t>Building - no letter (M)</t>
        </is>
      </c>
    </row>
    <row r="5">
      <c r="A5" s="11" t="inlineStr">
        <is>
          <t>'On Hold - Overpayment'</t>
        </is>
      </c>
      <c r="B5" s="11" t="inlineStr">
        <is>
          <t>REQ095, REQ098 p.58-59; Fig 2.6, 2.11</t>
        </is>
      </c>
      <c r="C5" s="11" t="inlineStr">
        <is>
          <t>Overpayment hold type removed (system approves and credits instead)</t>
        </is>
      </c>
      <c r="D5" s="11" t="inlineStr">
        <is>
          <t>Ask the adviser whether this is a refinement (excess still kept as unapplied value, as REQ098 requires). Otherwise change the system to hold overpaid orders until staff apply the excess</t>
        </is>
      </c>
      <c r="E5" s="11" t="inlineStr">
        <is>
          <t>In letter (as a refinement the client approved)</t>
        </is>
      </c>
    </row>
    <row r="6">
      <c r="A6" s="11" t="inlineStr">
        <is>
          <t>Real-time updates everywhere</t>
        </is>
      </c>
      <c r="B6" s="11" t="inlineStr">
        <is>
          <t>REQNF005 p.63</t>
        </is>
      </c>
      <c r="C6" s="11" t="inlineStr">
        <is>
          <t>Limited to the verification queue and customer order page</t>
        </is>
      </c>
      <c r="D6" s="11" t="inlineStr">
        <is>
          <t>Use live updates on all order and inventory screens</t>
        </is>
      </c>
      <c r="E6" s="11" t="inlineStr">
        <is>
          <t>Building - no letter (M)</t>
        </is>
      </c>
    </row>
    <row r="7">
      <c r="A7" s="11" t="inlineStr">
        <is>
          <t>Wholesale prices admin-only</t>
        </is>
      </c>
      <c r="B7" s="11" t="inlineStr">
        <is>
          <t>REQ088 p.57</t>
        </is>
      </c>
      <c r="C7" s="11" t="inlineStr">
        <is>
          <t>Moved to Limitations (prices are hidden on screen but readable in the database)</t>
        </is>
      </c>
      <c r="D7" s="11" t="inlineStr">
        <is>
          <t>Move costing/wholesale prices to a staff-only collection</t>
        </is>
      </c>
      <c r="E7" s="11" t="inlineStr">
        <is>
          <t>Building - no letter (M)</t>
        </is>
      </c>
    </row>
    <row r="8">
      <c r="A8" s="11" t="inlineStr">
        <is>
          <t>Push notifications</t>
        </is>
      </c>
      <c r="B8" s="11" t="inlineStr">
        <is>
          <t>Theoretical Framework p.23</t>
        </is>
      </c>
      <c r="C8" s="11" t="inlineStr">
        <is>
          <t>'Instantaneous push notifications' reworded to in-app alerts</t>
        </is>
      </c>
      <c r="D8" s="11" t="inlineStr">
        <is>
          <t>Add browser notifications for staff alerts</t>
        </is>
      </c>
      <c r="E8" s="11" t="inlineStr">
        <is>
          <t>Building - no letter (S)</t>
        </is>
      </c>
    </row>
    <row r="9">
      <c r="A9" s="11" t="inlineStr">
        <is>
          <t>Chart.js inventory analytics</t>
        </is>
      </c>
      <c r="B9" s="11" t="inlineStr">
        <is>
          <t>Technical Background p.35-37</t>
        </is>
      </c>
      <c r="C9" s="11" t="inlineStr">
        <is>
          <t>Inventory movement charts not provided</t>
        </is>
      </c>
      <c r="D9" s="11" t="inlineStr">
        <is>
          <t>Add an inventory movement chart to the dashboard</t>
        </is>
      </c>
      <c r="E9" s="11" t="inlineStr">
        <is>
          <t>Building - no letter (S)</t>
        </is>
      </c>
    </row>
    <row r="10">
      <c r="A10" s="11" t="inlineStr">
        <is>
          <t>Price locking</t>
        </is>
      </c>
      <c r="B10" s="11" t="inlineStr">
        <is>
          <t>Modules p.42</t>
        </is>
      </c>
      <c r="C10" s="11" t="inlineStr">
        <is>
          <t>'Allows price locking' reworded</t>
        </is>
      </c>
      <c r="D10" s="11" t="inlineStr">
        <is>
          <t>Add a lock/unlock toggle per product for the Branch Manager</t>
        </is>
      </c>
      <c r="E10" s="11" t="inlineStr">
        <is>
          <t>Building - no letter (S)</t>
        </is>
      </c>
    </row>
    <row r="11">
      <c r="A11" s="11" t="inlineStr">
        <is>
          <t>OpenAI API</t>
        </is>
      </c>
      <c r="B11" s="11" t="inlineStr">
        <is>
          <t>9 places: pp.3, 4, 24, 26, 34, 35, 37-38, 63</t>
        </is>
      </c>
      <c r="C11" s="11" t="inlineStr">
        <is>
          <t>Replaced by a free provider (Gemini via Firebase AI Logic, if approved)</t>
        </is>
      </c>
      <c r="D11" s="11" t="inlineStr">
        <is>
          <t>Keep OpenAI (paid, prepaid credit)</t>
        </is>
      </c>
      <c r="E11" s="11" t="inlineStr">
        <is>
          <t>In letter (same letter as the other tool swaps)</t>
        </is>
      </c>
    </row>
    <row r="12">
      <c r="A12" s="11" t="inlineStr">
        <is>
          <t>DataTable library</t>
        </is>
      </c>
      <c r="B12" s="11" t="inlineStr">
        <is>
          <t>Technical Background p.35, 37</t>
        </is>
      </c>
      <c r="C12" s="11" t="inlineStr">
        <is>
          <t>Removed (custom tables used)</t>
        </is>
      </c>
      <c r="D12" s="11" t="inlineStr">
        <is>
          <t>Use the DataTables library on the main tables</t>
        </is>
      </c>
      <c r="E12" s="11" t="inlineStr">
        <is>
          <t>In letter</t>
        </is>
      </c>
    </row>
    <row r="13">
      <c r="A13" s="11" t="inlineStr">
        <is>
          <t>Firebase Storage for images</t>
        </is>
      </c>
      <c r="B13" s="11" t="inlineStr">
        <is>
          <t>Technical Background p.35-36</t>
        </is>
      </c>
      <c r="C13" s="11" t="inlineStr">
        <is>
          <t>Replaced by Cloudinary</t>
        </is>
      </c>
      <c r="D13" s="11" t="inlineStr">
        <is>
          <t>Move uploads to Firebase Storage (needs the paid Blaze plan)</t>
        </is>
      </c>
      <c r="E13" s="11" t="inlineStr">
        <is>
          <t>In letter</t>
        </is>
      </c>
    </row>
    <row r="14">
      <c r="A14" s="11" t="inlineStr">
        <is>
          <t>EmailJS for password reset</t>
        </is>
      </c>
      <c r="B14" s="11" t="inlineStr">
        <is>
          <t>Technical Background p.36</t>
        </is>
      </c>
      <c r="C14" s="11" t="inlineStr">
        <is>
          <t>Replaced by Firebase Auth's own reset email</t>
        </is>
      </c>
      <c r="D14" s="11" t="inlineStr">
        <is>
          <t>Send reset links through EmailJS</t>
        </is>
      </c>
      <c r="E14" s="11" t="inlineStr">
        <is>
          <t>In letter</t>
        </is>
      </c>
    </row>
    <row r="15">
      <c r="A15" s="11" t="inlineStr">
        <is>
          <t>Who the system serves</t>
        </is>
      </c>
      <c r="B15" s="11" t="inlineStr">
        <is>
          <t>Scope p.6; Conceptual Framework p.25</t>
        </is>
      </c>
      <c r="C15" s="11" t="inlineStr">
        <is>
          <t>'Wholesale clients' and 'main office' as users; wholesale buyers registering/ordering online</t>
        </is>
      </c>
      <c r="D15" s="11" t="inlineStr">
        <is>
          <t>None - the original text is inaccurate (wholesale is staff-recorded per the client)</t>
        </is>
      </c>
      <c r="E15" s="11" t="inlineStr">
        <is>
          <t>In letter (correction)</t>
        </is>
      </c>
    </row>
  </sheetData>
  <autoFilter ref="A1:E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  <col width="44" customWidth="1" min="4" max="4"/>
    <col width="30" customWidth="1" min="5" max="5"/>
  </cols>
  <sheetData>
    <row r="1">
      <c r="A1" s="10" t="inlineStr">
        <is>
          <t>Client report</t>
        </is>
      </c>
      <c r="B1" s="10" t="inlineStr">
        <is>
          <t>Section / columns</t>
        </is>
      </c>
      <c r="C1" s="10" t="inlineStr">
        <is>
          <t>System data today</t>
        </is>
      </c>
      <c r="D1" s="10" t="inlineStr">
        <is>
          <t>Gap</t>
        </is>
      </c>
      <c r="E1" s="10" t="inlineStr">
        <is>
          <t>To-Do</t>
        </is>
      </c>
    </row>
    <row r="2">
      <c r="A2" s="11" t="inlineStr">
        <is>
          <t>Daily Sales (PDF)</t>
        </is>
      </c>
      <c r="B2" s="11" t="inlineStr">
        <is>
          <t>Header: store name, date range 12:00:01 AM - 11:59:59 PM</t>
        </is>
      </c>
      <c r="C2" s="11" t="inlineStr">
        <is>
          <t>-</t>
        </is>
      </c>
      <c r="D2" s="11" t="inlineStr">
        <is>
          <t>-</t>
        </is>
      </c>
      <c r="E2" s="11" t="inlineStr">
        <is>
          <t>Reports module</t>
        </is>
      </c>
    </row>
    <row r="3">
      <c r="A3" s="11" t="inlineStr">
        <is>
          <t>Daily Sales (PDF)</t>
        </is>
      </c>
      <c r="B3" s="11" t="inlineStr">
        <is>
          <t>Sales: Date, No. of Orders, Total, Discount/Deduction, Grand Total, Less VAT, VATable Sales, VAT 12%, VAT Exempt Sales</t>
        </is>
      </c>
      <c r="C3" s="11" t="inlineStr">
        <is>
          <t>posSales, orders, wholesaleOrders totals</t>
        </is>
      </c>
      <c r="D3" s="11" t="inlineStr">
        <is>
          <t>No discounts; no VAT fields (sample day: all VAT-exempt)</t>
        </is>
      </c>
      <c r="E3" s="11" t="inlineStr">
        <is>
          <t>Discount decision; VAT question to client</t>
        </is>
      </c>
    </row>
    <row r="4">
      <c r="A4" s="11" t="inlineStr">
        <is>
          <t>Daily Sales (PDF)</t>
        </is>
      </c>
      <c r="B4" s="11" t="inlineStr">
        <is>
          <t>Pay-In, Pay-Out, TOTAL</t>
        </is>
      </c>
      <c r="C4" s="11" t="inlineStr">
        <is>
          <t>-</t>
        </is>
      </c>
      <c r="D4" s="11" t="inlineStr">
        <is>
          <t>Not recorded</t>
        </is>
      </c>
      <c r="E4" s="11" t="inlineStr">
        <is>
          <t>Pay-in/pay-out decision</t>
        </is>
      </c>
    </row>
    <row r="5">
      <c r="A5" s="11" t="inlineStr">
        <is>
          <t>Daily Sales (PDF)</t>
        </is>
      </c>
      <c r="B5" s="11" t="inlineStr">
        <is>
          <t>Retail Sales: Date, No. of Items, Total Amount</t>
        </is>
      </c>
      <c r="C5" s="11" t="inlineStr">
        <is>
          <t>posSales + online orders</t>
        </is>
      </c>
      <c r="D5" s="11" t="inlineStr">
        <is>
          <t>OK once combined</t>
        </is>
      </c>
      <c r="E5" s="11" t="inlineStr"/>
    </row>
    <row r="6">
      <c r="A6" s="11" t="inlineStr">
        <is>
          <t>Daily Sales (PDF)</t>
        </is>
      </c>
      <c r="B6" s="11" t="inlineStr">
        <is>
          <t>Wholesale Sales: Date, No. of Items, Total Amount</t>
        </is>
      </c>
      <c r="C6" s="11" t="inlineStr">
        <is>
          <t>wholesaleOrders</t>
        </is>
      </c>
      <c r="D6" s="11" t="inlineStr">
        <is>
          <t>OK</t>
        </is>
      </c>
      <c r="E6" s="11" t="inlineStr"/>
    </row>
    <row r="7">
      <c r="A7" s="11" t="inlineStr">
        <is>
          <t>Daily Sales (PDF)</t>
        </is>
      </c>
      <c r="B7" s="11" t="inlineStr">
        <is>
          <t>Payment Method: Bank Transfer, Cash, Credit, G-Cash, Terminal - orders + amount</t>
        </is>
      </c>
      <c r="C7" s="11" t="inlineStr">
        <is>
          <t>posSales.paymentMethod (cash/card/e-wallet only)</t>
        </is>
      </c>
      <c r="D7" s="11" t="inlineStr">
        <is>
          <t>No Bank Transfer/Credit; wholesale has no payment method</t>
        </is>
      </c>
      <c r="E7" s="11" t="inlineStr">
        <is>
          <t>Payment method + terms item</t>
        </is>
      </c>
    </row>
    <row r="8">
      <c r="A8" s="11" t="inlineStr">
        <is>
          <t>Daily Sales (PDF)</t>
        </is>
      </c>
      <c r="B8" s="11" t="inlineStr">
        <is>
          <t>Item Sold: Item, No. of Items, Total Amount, Discount (sorted by qty)</t>
        </is>
      </c>
      <c r="C8" s="11" t="inlineStr">
        <is>
          <t>sale line items</t>
        </is>
      </c>
      <c r="D8" s="11" t="inlineStr">
        <is>
          <t>OK (no discount)</t>
        </is>
      </c>
      <c r="E8" s="11" t="inlineStr"/>
    </row>
    <row r="9">
      <c r="A9" s="11" t="inlineStr">
        <is>
          <t>Customer File (Excel, daily)</t>
        </is>
      </c>
      <c r="B9" s="11" t="inlineStr">
        <is>
          <t>Customer Name, Date+time, SI#, Batch No, Exp, Qty, Item, Sales Price, Total Amount, Terms of Payment; subtotal per customer</t>
        </is>
      </c>
      <c r="C9" s="11" t="inlineStr">
        <is>
          <t>sale line items</t>
        </is>
      </c>
      <c r="D9" s="11" t="inlineStr">
        <is>
          <t>No batch/expiry per line, no SI#, no walk-in customer name, no terms</t>
        </is>
      </c>
      <c r="E9" s="11" t="inlineStr">
        <is>
          <t>Batch per sale; SI#; walk-in name; payment terms</t>
        </is>
      </c>
    </row>
    <row r="10">
      <c r="A10" s="11" t="inlineStr">
        <is>
          <t>Monthly Inventory (Excel)</t>
        </is>
      </c>
      <c r="B10" s="11" t="inlineStr">
        <is>
          <t>One sheet per category (Generics, Medical Supplies, Grocery, Drugstore per pc, Branded): Product, POS stock, Physical count, Costing, Retail, Wholesale, Batch #, Expiry</t>
        </is>
      </c>
      <c r="C10" s="11" t="inlineStr">
        <is>
          <t>stockBatches + reconciliation counts + product prices</t>
        </is>
      </c>
      <c r="D10" s="11" t="inlineStr">
        <is>
          <t>Categories differ; needs reconciliation export by category</t>
        </is>
      </c>
      <c r="E10" s="11" t="inlineStr">
        <is>
          <t>Categories item; Reports module</t>
        </is>
      </c>
    </row>
    <row r="11">
      <c r="A11" s="11" t="inlineStr">
        <is>
          <t>Monthly Return to POS (Excel)</t>
        </is>
      </c>
      <c r="B11" s="11" t="inlineStr">
        <is>
          <t>Item, Batch, Expiry, Customer, DR#, Date Purchased, Date Returned, Qty, Amount, Total</t>
        </is>
      </c>
      <c r="C11" s="11" t="inlineStr">
        <is>
          <t>-</t>
        </is>
      </c>
      <c r="D11" s="11" t="inlineStr">
        <is>
          <t>Wholesale exchange/return not built; no DR#/SI# on the original sale</t>
        </is>
      </c>
      <c r="E11" s="11" t="inlineStr">
        <is>
          <t>Wholesale exchange; SI#</t>
        </is>
      </c>
    </row>
    <row r="12">
      <c r="A12" s="11" t="inlineStr">
        <is>
          <t>Monthly Supplier Purchases (Excel)</t>
        </is>
      </c>
      <c r="B12" s="11" t="inlineStr">
        <is>
          <t>Supplier Name, Order Date, Receipt #, Product, Brand, Packs, Batch #, Expiry, Qty, Price, Amount, Total; separate Drugstore and Grocery sheets</t>
        </is>
      </c>
      <c r="C12" s="11" t="inlineStr">
        <is>
          <t>stockBatches (supplier, batch, expiry, qty, date)</t>
        </is>
      </c>
      <c r="D12" s="11" t="inlineStr">
        <is>
          <t>No receipt #, unit cost, pack on receiving</t>
        </is>
      </c>
      <c r="E12" s="11" t="inlineStr">
        <is>
          <t>Receiving fields item</t>
        </is>
      </c>
    </row>
    <row r="13">
      <c r="A13" s="11" t="inlineStr">
        <is>
          <t>Observations</t>
        </is>
      </c>
      <c r="B13" s="11" t="inlineStr">
        <is>
          <t>Their old POS shows negative stock (-1); several expiries are typed into product names (e.g. '4/28'); one batch cell can list several expiries</t>
        </is>
      </c>
      <c r="C13" s="11" t="inlineStr">
        <is>
          <t>-</t>
        </is>
      </c>
      <c r="D13" s="11" t="inlineStr">
        <is>
          <t>Our system blocks negative stock and keeps one expiry per batch - good defense talking points; data needs cleaning before import</t>
        </is>
      </c>
      <c r="E13" s="11" t="inlineStr">
        <is>
          <t>Catalog import item</t>
        </is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50" customWidth="1" min="3" max="3"/>
    <col width="26" customWidth="1" min="4" max="4"/>
  </cols>
  <sheetData>
    <row r="1">
      <c r="A1" s="10" t="inlineStr">
        <is>
          <t>Interview</t>
        </is>
      </c>
      <c r="B1" s="10" t="inlineStr">
        <is>
          <t>What the client asked</t>
        </is>
      </c>
      <c r="C1" s="10" t="inlineStr">
        <is>
          <t>Where it's covered</t>
        </is>
      </c>
      <c r="D1" s="10" t="inlineStr">
        <is>
          <t>Status</t>
        </is>
      </c>
    </row>
    <row r="2">
      <c r="A2" s="11" t="inlineStr">
        <is>
          <t>1</t>
        </is>
      </c>
      <c r="B2" s="11" t="inlineStr">
        <is>
          <t>Price lock: one person changes prices, can lower then restore, changes monitored</t>
        </is>
      </c>
      <c r="C2" s="11" t="inlineStr">
        <is>
          <t>To-Do: price lock item; REQ071-073</t>
        </is>
      </c>
      <c r="D2" s="11" t="inlineStr">
        <is>
          <t>Covered</t>
        </is>
      </c>
    </row>
    <row r="3">
      <c r="A3" s="11" t="inlineStr">
        <is>
          <t>1, 4</t>
        </is>
      </c>
      <c r="B3" s="11" t="inlineStr">
        <is>
          <t>Void / cancel with lock, reason, receipt number, stock restore, exchange</t>
        </is>
      </c>
      <c r="C3" s="11" t="inlineStr">
        <is>
          <t>To-Do: walk-in void; receipt numbers</t>
        </is>
      </c>
      <c r="D3" s="11" t="inlineStr">
        <is>
          <t>Covered (rules added from Interview 4)</t>
        </is>
      </c>
    </row>
    <row r="4">
      <c r="A4" s="11" t="inlineStr">
        <is>
          <t>1</t>
        </is>
      </c>
      <c r="B4" s="11" t="inlineStr">
        <is>
          <t>Reports with batch + expiry, summarized, copy-paste into office Excel</t>
        </is>
      </c>
      <c r="C4" s="11" t="inlineStr">
        <is>
          <t>To-Do: Reports module</t>
        </is>
      </c>
      <c r="D4" s="11" t="inlineStr">
        <is>
          <t>Covered</t>
        </is>
      </c>
    </row>
    <row r="5">
      <c r="A5" s="11" t="inlineStr">
        <is>
          <t>1</t>
        </is>
      </c>
      <c r="B5" s="11" t="inlineStr">
        <is>
          <t>'Keep' a punched walk-in order until the customer confirms</t>
        </is>
      </c>
      <c r="C5" s="11" t="inlineStr">
        <is>
          <t>To-Do: park/hold sale</t>
        </is>
      </c>
      <c r="D5" s="11" t="inlineStr">
        <is>
          <t>Added now (Decision)</t>
        </is>
      </c>
    </row>
    <row r="6">
      <c r="A6" s="11" t="inlineStr">
        <is>
          <t>1</t>
        </is>
      </c>
      <c r="B6" s="11" t="inlineStr">
        <is>
          <t>Small thermal receipt printer</t>
        </is>
      </c>
      <c r="C6" s="11" t="inlineStr">
        <is>
          <t>To-Do: receipt printing</t>
        </is>
      </c>
      <c r="D6" s="11" t="inlineStr">
        <is>
          <t>Covered</t>
        </is>
      </c>
    </row>
    <row r="7">
      <c r="A7" s="11" t="inlineStr">
        <is>
          <t>1</t>
        </is>
      </c>
      <c r="B7" s="11" t="inlineStr">
        <is>
          <t>Usable on the manager's phone</t>
        </is>
      </c>
      <c r="C7" s="11" t="inlineStr">
        <is>
          <t>REQNF003 test pass</t>
        </is>
      </c>
      <c r="D7" s="11" t="inlineStr">
        <is>
          <t>Covered</t>
        </is>
      </c>
    </row>
    <row r="8">
      <c r="A8" s="11" t="inlineStr">
        <is>
          <t>1</t>
        </is>
      </c>
      <c r="B8" s="11" t="inlineStr">
        <is>
          <t>Not connected to BIR or government; confidential</t>
        </is>
      </c>
      <c r="C8" s="11" t="inlineStr">
        <is>
          <t>To-Do: 'not an official receipt' relabel; Limitations edit</t>
        </is>
      </c>
      <c r="D8" s="11" t="inlineStr">
        <is>
          <t>Added now</t>
        </is>
      </c>
    </row>
    <row r="9">
      <c r="A9" s="11" t="inlineStr">
        <is>
          <t>1</t>
        </is>
      </c>
      <c r="B9" s="11" t="inlineStr">
        <is>
          <t>Announce closure days to buyers</t>
        </is>
      </c>
      <c r="C9" s="11" t="inlineStr">
        <is>
          <t>To-Do: announcement banner (REQ008)</t>
        </is>
      </c>
      <c r="D9" s="11" t="inlineStr">
        <is>
          <t>Added now</t>
        </is>
      </c>
    </row>
    <row r="10">
      <c r="A10" s="11" t="inlineStr">
        <is>
          <t>1</t>
        </is>
      </c>
      <c r="B10" s="11" t="inlineStr">
        <is>
          <t>Free goods: near-expiry RX only to doctors, vitamins to all</t>
        </is>
      </c>
      <c r="C10" s="11" t="inlineStr">
        <is>
          <t>To-Do: wholesale free-of-cost (note)</t>
        </is>
      </c>
      <c r="D10" s="11" t="inlineStr">
        <is>
          <t>Added now (note)</t>
        </is>
      </c>
    </row>
    <row r="11">
      <c r="A11" s="11" t="inlineStr">
        <is>
          <t>1</t>
        </is>
      </c>
      <c r="B11" s="11" t="inlineStr">
        <is>
          <t>Multi-branch / Manila branch use</t>
        </is>
      </c>
      <c r="C11" s="11" t="inlineStr">
        <is>
          <t>Limitations p.7 (single branch)</t>
        </is>
      </c>
      <c r="D11" s="11" t="inlineStr">
        <is>
          <t>Out of scope</t>
        </is>
      </c>
    </row>
    <row r="12">
      <c r="A12" s="11" t="inlineStr">
        <is>
          <t>2</t>
        </is>
      </c>
      <c r="B12" s="11" t="inlineStr">
        <is>
          <t>Sales Staff = POS only</t>
        </is>
      </c>
      <c r="C12" s="11" t="inlineStr">
        <is>
          <t>REQ121 decision</t>
        </is>
      </c>
      <c r="D12" s="11" t="inlineStr">
        <is>
          <t>Covered</t>
        </is>
      </c>
    </row>
    <row r="13">
      <c r="A13" s="11" t="inlineStr">
        <is>
          <t>2</t>
        </is>
      </c>
      <c r="B13" s="11" t="inlineStr">
        <is>
          <t>Wholesale not online; retail price only online</t>
        </is>
      </c>
      <c r="C13" s="11" t="inlineStr">
        <is>
          <t>REQ088 (wholesale price visibility)</t>
        </is>
      </c>
      <c r="D13" s="11" t="inlineStr">
        <is>
          <t>Covered</t>
        </is>
      </c>
    </row>
    <row r="14">
      <c r="A14" s="11" t="inlineStr">
        <is>
          <t>2</t>
        </is>
      </c>
      <c r="B14" s="11" t="inlineStr">
        <is>
          <t>Wholesale documents: LTO + business permit, latest copies</t>
        </is>
      </c>
      <c r="C14" s="11" t="inlineStr">
        <is>
          <t>REQ086 expiry tracking</t>
        </is>
      </c>
      <c r="D14" s="11" t="inlineStr">
        <is>
          <t>Covered</t>
        </is>
      </c>
    </row>
    <row r="15">
      <c r="A15" s="11" t="inlineStr">
        <is>
          <t>2</t>
        </is>
      </c>
      <c r="B15" s="11" t="inlineStr">
        <is>
          <t>POS receipt printed; BIR receipt with VAT only on request</t>
        </is>
      </c>
      <c r="C15" s="11" t="inlineStr">
        <is>
          <t>'Not an official receipt' item; Limitations edit</t>
        </is>
      </c>
      <c r="D15" s="11" t="inlineStr">
        <is>
          <t>Added now</t>
        </is>
      </c>
    </row>
    <row r="16">
      <c r="A16" s="11" t="inlineStr">
        <is>
          <t>2</t>
        </is>
      </c>
      <c r="B16" s="11" t="inlineStr">
        <is>
          <t>Send the sales invoice format</t>
        </is>
      </c>
      <c r="C16" s="11" t="inlineStr">
        <is>
          <t>Client item</t>
        </is>
      </c>
      <c r="D16" s="11" t="inlineStr">
        <is>
          <t>Covered</t>
        </is>
      </c>
    </row>
    <row r="17">
      <c r="A17" s="11" t="inlineStr">
        <is>
          <t>2</t>
        </is>
      </c>
      <c r="B17" s="11" t="inlineStr">
        <is>
          <t>Price change needs reason and date (option or free note, e.g. 'approved by boss')</t>
        </is>
      </c>
      <c r="C17" s="11" t="inlineStr">
        <is>
          <t>Price lock item</t>
        </is>
      </c>
      <c r="D17" s="11" t="inlineStr">
        <is>
          <t>Covered</t>
        </is>
      </c>
    </row>
    <row r="18">
      <c r="A18" s="11" t="inlineStr">
        <is>
          <t>2</t>
        </is>
      </c>
      <c r="B18" s="11" t="inlineStr">
        <is>
          <t>Customer file per wholesale buyer; reorder past purchases</t>
        </is>
      </c>
      <c r="C18" s="11" t="inlineStr">
        <is>
          <t>Wholesale history item (reorder added)</t>
        </is>
      </c>
      <c r="D18" s="11" t="inlineStr">
        <is>
          <t>Added now (reorder)</t>
        </is>
      </c>
    </row>
    <row r="19">
      <c r="A19" s="11" t="inlineStr">
        <is>
          <t>2</t>
        </is>
      </c>
      <c r="B19" s="11" t="inlineStr">
        <is>
          <t>Daily sales (per customer, items, batch, expiry); monthly purchases (batch, expiry, purchase date, receipt no., supplier); monthly inventory; pull-out; returns</t>
        </is>
      </c>
      <c r="C19" s="11" t="inlineStr">
        <is>
          <t>Reports module; supplier DR number field</t>
        </is>
      </c>
      <c r="D19" s="11" t="inlineStr">
        <is>
          <t>Added now (DR number)</t>
        </is>
      </c>
    </row>
    <row r="20">
      <c r="A20" s="11" t="inlineStr">
        <is>
          <t>2</t>
        </is>
      </c>
      <c r="B20" s="11" t="inlineStr">
        <is>
          <t>Wholesale returns as item exchange, no money back</t>
        </is>
      </c>
      <c r="C20" s="11" t="inlineStr">
        <is>
          <t>Wholesale exchange item</t>
        </is>
      </c>
      <c r="D20" s="11" t="inlineStr">
        <is>
          <t>Covered</t>
        </is>
      </c>
    </row>
    <row r="21">
      <c r="A21" s="11" t="inlineStr">
        <is>
          <t>2</t>
        </is>
      </c>
      <c r="B21" s="11" t="inlineStr">
        <is>
          <t>Free-of-cost for wholesale only</t>
        </is>
      </c>
      <c r="C21" s="11" t="inlineStr">
        <is>
          <t>Wholesale free-of-cost item</t>
        </is>
      </c>
      <c r="D21" s="11" t="inlineStr">
        <is>
          <t>Covered</t>
        </is>
      </c>
    </row>
    <row r="22">
      <c r="A22" s="11" t="inlineStr">
        <is>
          <t>2, 3</t>
        </is>
      </c>
      <c r="B22" s="11" t="inlineStr">
        <is>
          <t>Lalamove only; payment first, no COD; customer pays rider</t>
        </is>
      </c>
      <c r="C22" s="11" t="inlineStr">
        <is>
          <t>REQ020; Terms rewrite</t>
        </is>
      </c>
      <c r="D22" s="11" t="inlineStr">
        <is>
          <t>Covered</t>
        </is>
      </c>
    </row>
    <row r="23">
      <c r="A23" s="11" t="inlineStr">
        <is>
          <t>2, 3</t>
        </is>
      </c>
      <c r="B23" s="11" t="inlineStr">
        <is>
          <t>Rider details recorded</t>
        </is>
      </c>
      <c r="C23" s="11" t="inlineStr">
        <is>
          <t>Delivery notes item (note)</t>
        </is>
      </c>
      <c r="D23" s="11" t="inlineStr">
        <is>
          <t>Added now (note)</t>
        </is>
      </c>
    </row>
    <row r="24">
      <c r="A24" s="11" t="inlineStr">
        <is>
          <t>2</t>
        </is>
      </c>
      <c r="B24" s="11" t="inlineStr">
        <is>
          <t>Daily cash remitted to main office</t>
        </is>
      </c>
      <c r="C24" s="11" t="inlineStr">
        <is>
          <t>Reports module (totals by payment method)</t>
        </is>
      </c>
      <c r="D24" s="11" t="inlineStr">
        <is>
          <t>Added now (note)</t>
        </is>
      </c>
    </row>
    <row r="25">
      <c r="A25" s="11" t="inlineStr">
        <is>
          <t>3</t>
        </is>
      </c>
      <c r="B25" s="11" t="inlineStr">
        <is>
          <t>Live chat on the website</t>
        </is>
      </c>
      <c r="C25" s="11" t="inlineStr">
        <is>
          <t>Live chat decision</t>
        </is>
      </c>
      <c r="D25" s="11" t="inlineStr">
        <is>
          <t>Covered</t>
        </is>
      </c>
    </row>
    <row r="26">
      <c r="A26" s="11" t="inlineStr">
        <is>
          <t>3, 4</t>
        </is>
      </c>
      <c r="B26" s="11" t="inlineStr">
        <is>
          <t>No third-party payment; QR Ph direct, verified on the spot</t>
        </is>
      </c>
      <c r="C26" s="11" t="inlineStr">
        <is>
          <t>REQ028 QR image</t>
        </is>
      </c>
      <c r="D26" s="11" t="inlineStr">
        <is>
          <t>Covered</t>
        </is>
      </c>
    </row>
    <row r="27">
      <c r="A27" s="11" t="inlineStr">
        <is>
          <t>3</t>
        </is>
      </c>
      <c r="B27" s="11" t="inlineStr">
        <is>
          <t>Wrong item delivered: exchange, no refund; no cancellation after payment; failed-delivery fees on customer</t>
        </is>
      </c>
      <c r="C27" s="11" t="inlineStr">
        <is>
          <t>Terms rewrite</t>
        </is>
      </c>
      <c r="D27" s="11" t="inlineStr">
        <is>
          <t>Added now</t>
        </is>
      </c>
    </row>
    <row r="28">
      <c r="A28" s="11" t="inlineStr">
        <is>
          <t>4</t>
        </is>
      </c>
      <c r="B28" s="11" t="inlineStr">
        <is>
          <t>Report export must look like the client's sample</t>
        </is>
      </c>
      <c r="C28" s="11" t="inlineStr">
        <is>
          <t>Client item; Reports module</t>
        </is>
      </c>
      <c r="D28" s="11" t="inlineStr">
        <is>
          <t>Covered</t>
        </is>
      </c>
    </row>
    <row r="29">
      <c r="A29" s="11" t="inlineStr">
        <is>
          <t>4</t>
        </is>
      </c>
      <c r="B29" s="11" t="inlineStr">
        <is>
          <t>Export the dashboard</t>
        </is>
      </c>
      <c r="C29" s="11" t="inlineStr">
        <is>
          <t>Reports module (Dashboard Export button)</t>
        </is>
      </c>
      <c r="D29" s="11" t="inlineStr">
        <is>
          <t>Covered</t>
        </is>
      </c>
    </row>
    <row r="30">
      <c r="A30" s="11" t="inlineStr">
        <is>
          <t>4</t>
        </is>
      </c>
      <c r="B30" s="11" t="inlineStr">
        <is>
          <t>See history of what came from each supplier</t>
        </is>
      </c>
      <c r="C30" s="11" t="inlineStr">
        <is>
          <t>Supplier history item</t>
        </is>
      </c>
      <c r="D30" s="11" t="inlineStr">
        <is>
          <t>Added now</t>
        </is>
      </c>
    </row>
    <row r="31">
      <c r="A31" s="11" t="inlineStr">
        <is>
          <t>4</t>
        </is>
      </c>
      <c r="B31" s="11" t="inlineStr">
        <is>
          <t>See wholesale permit expiry</t>
        </is>
      </c>
      <c r="C31" s="11" t="inlineStr">
        <is>
          <t>REQ086</t>
        </is>
      </c>
      <c r="D31" s="11" t="inlineStr">
        <is>
          <t>Covered</t>
        </is>
      </c>
    </row>
    <row r="32">
      <c r="A32" s="11" t="inlineStr">
        <is>
          <t>4</t>
        </is>
      </c>
      <c r="B32" s="11" t="inlineStr">
        <is>
          <t>Audit log shows who added stock/products</t>
        </is>
      </c>
      <c r="C32" s="11" t="inlineStr">
        <is>
          <t>REQ122 completeness</t>
        </is>
      </c>
      <c r="D32" s="11" t="inlineStr">
        <is>
          <t>Covered</t>
        </is>
      </c>
    </row>
    <row r="33">
      <c r="A33" s="11" t="inlineStr">
        <is>
          <t>4</t>
        </is>
      </c>
      <c r="B33" s="11" t="inlineStr">
        <is>
          <t>Void restricted: a second person must see it</t>
        </is>
      </c>
      <c r="C33" s="11" t="inlineStr">
        <is>
          <t>Walk-in void item (note)</t>
        </is>
      </c>
      <c r="D33" s="11" t="inlineStr">
        <is>
          <t>Added now (note)</t>
        </is>
      </c>
    </row>
    <row r="34">
      <c r="A34" s="11" t="inlineStr">
        <is>
          <t>4</t>
        </is>
      </c>
      <c r="B34" s="11" t="inlineStr">
        <is>
          <t>Hands-on before go-live</t>
        </is>
      </c>
      <c r="C34" s="11" t="inlineStr">
        <is>
          <t>User manual + training item</t>
        </is>
      </c>
      <c r="D34" s="11" t="inlineStr">
        <is>
          <t>Added now</t>
        </is>
      </c>
    </row>
  </sheetData>
  <autoFilter ref="A1:D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  <col width="12" customWidth="1" min="4" max="4"/>
    <col width="10" customWidth="1" min="5" max="5"/>
    <col width="8" customWidth="1" min="6" max="6"/>
  </cols>
  <sheetData>
    <row r="1">
      <c r="A1" s="10" t="inlineStr">
        <is>
          <t>Section</t>
        </is>
      </c>
      <c r="B1" s="10" t="inlineStr">
        <is>
          <t>Page</t>
        </is>
      </c>
      <c r="C1" s="10" t="inlineStr">
        <is>
          <t>Item</t>
        </is>
      </c>
      <c r="D1" s="10" t="inlineStr">
        <is>
          <t>Area</t>
        </is>
      </c>
      <c r="E1" s="10" t="inlineStr">
        <is>
          <t>Defense risk</t>
        </is>
      </c>
      <c r="F1" s="10" t="inlineStr">
        <is>
          <t>Effort</t>
        </is>
      </c>
    </row>
    <row r="2">
      <c r="A2" s="11" t="inlineStr">
        <is>
          <t>Title page / cover</t>
        </is>
      </c>
      <c r="B2" s="11" t="inlineStr">
        <is>
          <t>i</t>
        </is>
      </c>
      <c r="C2" s="11" t="inlineStr">
        <is>
          <t>Still labelled 'Capstone Project Proposal' dated May 16, 2026; update the label and date for the final manuscript.</t>
        </is>
      </c>
      <c r="D2" s="11" t="inlineStr">
        <is>
          <t>Paper</t>
        </is>
      </c>
      <c r="E2" s="11" t="inlineStr">
        <is>
          <t>Med</t>
        </is>
      </c>
      <c r="F2" s="11" t="inlineStr">
        <is>
          <t>S</t>
        </is>
      </c>
    </row>
    <row r="3">
      <c r="A3" s="11" t="inlineStr">
        <is>
          <t>Title</t>
        </is>
      </c>
      <c r="B3" s="11" t="inlineStr">
        <is>
          <t>i</t>
        </is>
      </c>
      <c r="C3" s="11" t="inlineStr">
        <is>
          <t>'Integrated Real-Time Expiry Monitoring': near-expiry stock is only flagged when the Inventory page opens (REQ066). Fix the system so the title holds (To-Do: REQ066 item).</t>
        </is>
      </c>
      <c r="D3" s="11" t="inlineStr">
        <is>
          <t>System</t>
        </is>
      </c>
      <c r="E3" s="11" t="inlineStr">
        <is>
          <t>High</t>
        </is>
      </c>
      <c r="F3" s="11" t="inlineStr">
        <is>
          <t>-</t>
        </is>
      </c>
    </row>
    <row r="4">
      <c r="A4" s="11" t="inlineStr">
        <is>
          <t>Whole paper</t>
        </is>
      </c>
      <c r="B4" s="11" t="inlineStr">
        <is>
          <t>-</t>
        </is>
      </c>
      <c r="C4" s="11" t="inlineStr">
        <is>
          <t>About 100 'will ...' sentences are written as a proposal. Ask the adviser whether the final manuscript should switch to past/present tense, then convert.</t>
        </is>
      </c>
      <c r="D4" s="11" t="inlineStr">
        <is>
          <t>Paper</t>
        </is>
      </c>
      <c r="E4" s="11" t="inlineStr">
        <is>
          <t>Med</t>
        </is>
      </c>
      <c r="F4" s="11" t="inlineStr">
        <is>
          <t>M</t>
        </is>
      </c>
    </row>
    <row r="5">
      <c r="A5" s="11" t="inlineStr">
        <is>
          <t>Whole paper</t>
        </is>
      </c>
      <c r="B5" s="11" t="inlineStr">
        <is>
          <t>-</t>
        </is>
      </c>
      <c r="C5" s="11" t="inlineStr">
        <is>
          <t>Spelling consistency: 'Fulfilment' on the cover vs 'fulfillment' elsewhere.</t>
        </is>
      </c>
      <c r="D5" s="11" t="inlineStr">
        <is>
          <t>Paper</t>
        </is>
      </c>
      <c r="E5" s="11" t="inlineStr">
        <is>
          <t>Low</t>
        </is>
      </c>
      <c r="F5" s="11" t="inlineStr">
        <is>
          <t>S</t>
        </is>
      </c>
    </row>
    <row r="6">
      <c r="A6" s="11" t="inlineStr">
        <is>
          <t>Whole paper + system</t>
        </is>
      </c>
      <c r="B6" s="11" t="inlineStr">
        <is>
          <t>-</t>
        </is>
      </c>
      <c r="C6" s="11" t="inlineStr">
        <is>
          <t>'QR PH' in the paper and most screens, 'QR Ph' on the payment page image text. The official name is 'QR Ph'; pick one everywhere.</t>
        </is>
      </c>
      <c r="D6" s="11" t="inlineStr">
        <is>
          <t>Both</t>
        </is>
      </c>
      <c r="E6" s="11" t="inlineStr">
        <is>
          <t>Low</t>
        </is>
      </c>
      <c r="F6" s="11" t="inlineStr">
        <is>
          <t>S</t>
        </is>
      </c>
    </row>
    <row r="7">
      <c r="A7" s="11" t="inlineStr">
        <is>
          <t>Project Context</t>
        </is>
      </c>
      <c r="B7" s="11" t="inlineStr">
        <is>
          <t>p.1</t>
        </is>
      </c>
      <c r="C7" s="11" t="inlineStr">
        <is>
          <t>Says the old POS couldn't print batch numbers, expiration dates or supplier details on receipts. The new receipts don't show them either; add batch/expiry to receipts and reports, or soften the sentence.</t>
        </is>
      </c>
      <c r="D7" s="11" t="inlineStr">
        <is>
          <t>System</t>
        </is>
      </c>
      <c r="E7" s="11" t="inlineStr">
        <is>
          <t>Med</t>
        </is>
      </c>
      <c r="F7" s="11" t="inlineStr">
        <is>
          <t>S</t>
        </is>
      </c>
    </row>
    <row r="8">
      <c r="A8" s="11" t="inlineStr">
        <is>
          <t>Project Context / Purpose</t>
        </is>
      </c>
      <c r="B8" s="11" t="inlineStr">
        <is>
          <t>p.2-4</t>
        </is>
      </c>
      <c r="C8" s="11" t="inlineStr">
        <is>
          <t>AI chat 'addresses inquiries at any hour': depends on the live chat decision.</t>
        </is>
      </c>
      <c r="D8" s="11" t="inlineStr">
        <is>
          <t>Decision</t>
        </is>
      </c>
      <c r="E8" s="11" t="inlineStr">
        <is>
          <t>High</t>
        </is>
      </c>
      <c r="F8" s="11" t="inlineStr">
        <is>
          <t>-</t>
        </is>
      </c>
    </row>
    <row r="9">
      <c r="A9" s="11" t="inlineStr">
        <is>
          <t>Purpose and Description</t>
        </is>
      </c>
      <c r="B9" s="11" t="inlineStr">
        <is>
          <t>p.3</t>
        </is>
      </c>
      <c r="C9" s="11" t="inlineStr">
        <is>
          <t>'Each completed transaction ... made available for printing and reporting': needs receipt printing and the Reports module.</t>
        </is>
      </c>
      <c r="D9" s="11" t="inlineStr">
        <is>
          <t>System</t>
        </is>
      </c>
      <c r="E9" s="11" t="inlineStr">
        <is>
          <t>High</t>
        </is>
      </c>
      <c r="F9" s="11" t="inlineStr">
        <is>
          <t>-</t>
        </is>
      </c>
    </row>
    <row r="10">
      <c r="A10" s="11" t="inlineStr">
        <is>
          <t>Objectives</t>
        </is>
      </c>
      <c r="B10" s="11" t="inlineStr">
        <is>
          <t>p.5</t>
        </is>
      </c>
      <c r="C10" s="11" t="inlineStr">
        <is>
          <t>Obj. 1 promises AI chat support (live chat decision). Obj. 2 promises auto-removal of near-expiry stock (REQ066 fix). Obj. 3 promises exportable daily/monthly reports with batch + expiry (Reports module).</t>
        </is>
      </c>
      <c r="D10" s="11" t="inlineStr">
        <is>
          <t>Both</t>
        </is>
      </c>
      <c r="E10" s="11" t="inlineStr">
        <is>
          <t>High</t>
        </is>
      </c>
      <c r="F10" s="11" t="inlineStr">
        <is>
          <t>-</t>
        </is>
      </c>
    </row>
    <row r="11">
      <c r="A11" s="11" t="inlineStr">
        <is>
          <t>Objectives / evaluation</t>
        </is>
      </c>
      <c r="B11" s="11" t="inlineStr">
        <is>
          <t>p.5-6, 21-24</t>
        </is>
      </c>
      <c r="C11" s="11" t="inlineStr">
        <is>
          <t>Obj. 4 evaluates with TAM + ISO/IEC 25010, but there is no questionnaire, respondent group, sampling, scale, or statistical treatment yet. The final paper needs the instrument and a results chapter.</t>
        </is>
      </c>
      <c r="D11" s="11" t="inlineStr">
        <is>
          <t>Paper</t>
        </is>
      </c>
      <c r="E11" s="11" t="inlineStr">
        <is>
          <t>High</t>
        </is>
      </c>
      <c r="F11" s="11" t="inlineStr">
        <is>
          <t>L</t>
        </is>
      </c>
    </row>
    <row r="12">
      <c r="A12" s="11" t="inlineStr">
        <is>
          <t>Scope</t>
        </is>
      </c>
      <c r="B12" s="11" t="inlineStr">
        <is>
          <t>p.6</t>
        </is>
      </c>
      <c r="C12" s="11" t="inlineStr">
        <is>
          <t>'Intended to serve retail customers, wholesale clients, branch staff, and main office management': wholesale clients and the main office never log in. Reword to 'staff record wholesale transactions; reports are submitted to the main office'.</t>
        </is>
      </c>
      <c r="D12" s="11" t="inlineStr">
        <is>
          <t>Paper</t>
        </is>
      </c>
      <c r="E12" s="11" t="inlineStr">
        <is>
          <t>Low</t>
        </is>
      </c>
      <c r="F12" s="11" t="inlineStr">
        <is>
          <t>S</t>
        </is>
      </c>
    </row>
    <row r="13">
      <c r="A13" s="11" t="inlineStr">
        <is>
          <t>Scope</t>
        </is>
      </c>
      <c r="B13" s="11" t="inlineStr">
        <is>
          <t>p.7</t>
        </is>
      </c>
      <c r="C13" s="11" t="inlineStr">
        <is>
          <t>'Automated daily sales and inventory reports are generated': depends on the Reports module.</t>
        </is>
      </c>
      <c r="D13" s="11" t="inlineStr">
        <is>
          <t>System</t>
        </is>
      </c>
      <c r="E13" s="11" t="inlineStr">
        <is>
          <t>High</t>
        </is>
      </c>
      <c r="F13" s="11" t="inlineStr">
        <is>
          <t>-</t>
        </is>
      </c>
    </row>
    <row r="14">
      <c r="A14" s="11" t="inlineStr">
        <is>
          <t>Scope</t>
        </is>
      </c>
      <c r="B14" s="11" t="inlineStr">
        <is>
          <t>p.7</t>
        </is>
      </c>
      <c r="C14" s="11" t="inlineStr">
        <is>
          <t>AI live chat bullet: live chat decision.</t>
        </is>
      </c>
      <c r="D14" s="11" t="inlineStr">
        <is>
          <t>Decision</t>
        </is>
      </c>
      <c r="E14" s="11" t="inlineStr">
        <is>
          <t>High</t>
        </is>
      </c>
      <c r="F14" s="11" t="inlineStr">
        <is>
          <t>-</t>
        </is>
      </c>
    </row>
    <row r="15">
      <c r="A15" s="11" t="inlineStr">
        <is>
          <t>Limitations</t>
        </is>
      </c>
      <c r="B15" s="11" t="inlineStr">
        <is>
          <t>p.7</t>
        </is>
      </c>
      <c r="C15" s="11" t="inlineStr">
        <is>
          <t>'Retail item exchanges ... coordinated through live chat': if chat is cut, change this to phone/Messenger.</t>
        </is>
      </c>
      <c r="D15" s="11" t="inlineStr">
        <is>
          <t>Decision</t>
        </is>
      </c>
      <c r="E15" s="11" t="inlineStr">
        <is>
          <t>Med</t>
        </is>
      </c>
      <c r="F15" s="11" t="inlineStr">
        <is>
          <t>S</t>
        </is>
      </c>
    </row>
    <row r="16">
      <c r="A16" s="11" t="inlineStr">
        <is>
          <t>Limitations</t>
        </is>
      </c>
      <c r="B16" s="11" t="inlineStr">
        <is>
          <t>p.7</t>
        </is>
      </c>
      <c r="C16" s="11" t="inlineStr">
        <is>
          <t>Add new limitations if decided: hosting/deployment, live chat/AI, real-time refresh, OpenAI cost.</t>
        </is>
      </c>
      <c r="D16" s="11" t="inlineStr">
        <is>
          <t>Decision</t>
        </is>
      </c>
      <c r="E16" s="11" t="inlineStr">
        <is>
          <t>Med</t>
        </is>
      </c>
      <c r="F16" s="11" t="inlineStr">
        <is>
          <t>S</t>
        </is>
      </c>
    </row>
    <row r="17">
      <c r="A17" s="11" t="inlineStr">
        <is>
          <t>Comparative Analysis</t>
        </is>
      </c>
      <c r="B17" s="11" t="inlineStr">
        <is>
          <t>p.18</t>
        </is>
      </c>
      <c r="C17" s="11" t="inlineStr">
        <is>
          <t>The three compared systems are named but not cited in that section: J1TEK = Binag et al. (2024), Online Transporter = Llorente et al. (2022), Bandung FEFO = Malasari &amp; Sudrajat (2023). Binag and Llorente are in the reference list but cited nowhere in the text.</t>
        </is>
      </c>
      <c r="D17" s="11" t="inlineStr">
        <is>
          <t>Paper</t>
        </is>
      </c>
      <c r="E17" s="11" t="inlineStr">
        <is>
          <t>Med</t>
        </is>
      </c>
      <c r="F17" s="11" t="inlineStr">
        <is>
          <t>S</t>
        </is>
      </c>
    </row>
    <row r="18">
      <c r="A18" s="11" t="inlineStr">
        <is>
          <t>Comparative Analysis</t>
        </is>
      </c>
      <c r="B18" s="11" t="inlineStr">
        <is>
          <t>p.18</t>
        </is>
      </c>
      <c r="C18" s="11" t="inlineStr">
        <is>
          <t>The proposed system gets a tick for 'AI-powered live chat'; keep only if chat is built.</t>
        </is>
      </c>
      <c r="D18" s="11" t="inlineStr">
        <is>
          <t>Decision</t>
        </is>
      </c>
      <c r="E18" s="11" t="inlineStr">
        <is>
          <t>High</t>
        </is>
      </c>
      <c r="F18" s="11" t="inlineStr">
        <is>
          <t>S</t>
        </is>
      </c>
    </row>
    <row r="19">
      <c r="A19" s="11" t="inlineStr">
        <is>
          <t>Theoretical Framework</t>
        </is>
      </c>
      <c r="B19" s="11" t="inlineStr">
        <is>
          <t>p.22-23</t>
        </is>
      </c>
      <c r="C19" s="11" t="inlineStr">
        <is>
          <t>Mentions 'instantaneous push notifications for near-expiry supplies'; the system has an in-app notification bell, not push notifications. Reword.</t>
        </is>
      </c>
      <c r="D19" s="11" t="inlineStr">
        <is>
          <t>Paper</t>
        </is>
      </c>
      <c r="E19" s="11" t="inlineStr">
        <is>
          <t>Low</t>
        </is>
      </c>
      <c r="F19" s="11" t="inlineStr">
        <is>
          <t>S</t>
        </is>
      </c>
    </row>
    <row r="20">
      <c r="A20" s="11" t="inlineStr">
        <is>
          <t>Theoretical Framework</t>
        </is>
      </c>
      <c r="B20" s="11" t="inlineStr">
        <is>
          <t>p.24</t>
        </is>
      </c>
      <c r="C20" s="11" t="inlineStr">
        <is>
          <t>'Only authorized branch managers can ... override automated inventory counts': needs the REQ061 fix (Branch Manager-only reconciliation finalize).</t>
        </is>
      </c>
      <c r="D20" s="11" t="inlineStr">
        <is>
          <t>System</t>
        </is>
      </c>
      <c r="E20" s="11" t="inlineStr">
        <is>
          <t>Med</t>
        </is>
      </c>
      <c r="F20" s="11" t="inlineStr">
        <is>
          <t>S</t>
        </is>
      </c>
    </row>
    <row r="21">
      <c r="A21" s="11" t="inlineStr">
        <is>
          <t>Conceptual Framework (Input)</t>
        </is>
      </c>
      <c r="B21" s="11" t="inlineStr">
        <is>
          <t>p.25</t>
        </is>
      </c>
      <c r="C21" s="11" t="inlineStr">
        <is>
          <t>Says wholesale buyers' info is captured during account registration and that wholesale purchase orders are submitted through the platform. Wholesale buyers don't register or order online; staff record them.</t>
        </is>
      </c>
      <c r="D21" s="11" t="inlineStr">
        <is>
          <t>Paper</t>
        </is>
      </c>
      <c r="E21" s="11" t="inlineStr">
        <is>
          <t>Med</t>
        </is>
      </c>
      <c r="F21" s="11" t="inlineStr">
        <is>
          <t>S</t>
        </is>
      </c>
    </row>
    <row r="22">
      <c r="A22" s="11" t="inlineStr">
        <is>
          <t>Conceptual Framework (Output)</t>
        </is>
      </c>
      <c r="B22" s="11" t="inlineStr">
        <is>
          <t>p.27</t>
        </is>
      </c>
      <c r="C22" s="11" t="inlineStr">
        <is>
          <t>'Terms and Conditions remain available throughout the session': footer Privacy/Terms links are dead. Link them to the existing legal text.</t>
        </is>
      </c>
      <c r="D22" s="11" t="inlineStr">
        <is>
          <t>System</t>
        </is>
      </c>
      <c r="E22" s="11" t="inlineStr">
        <is>
          <t>Med</t>
        </is>
      </c>
      <c r="F22" s="11" t="inlineStr">
        <is>
          <t>S</t>
        </is>
      </c>
    </row>
    <row r="23">
      <c r="A23" s="11" t="inlineStr">
        <is>
          <t>Methodology: sprint plan</t>
        </is>
      </c>
      <c r="B23" s="11" t="inlineStr">
        <is>
          <t>p.32</t>
        </is>
      </c>
      <c r="C23" s="11" t="inlineStr">
        <is>
          <t>Phase 4 (customer side) lists the 'one-click copy feature for delivery details' under My Orders; that's an admin Delivery feature (also listed in Phase 6). Remove it from Phase 4.</t>
        </is>
      </c>
      <c r="D23" s="11" t="inlineStr">
        <is>
          <t>Paper</t>
        </is>
      </c>
      <c r="E23" s="11" t="inlineStr">
        <is>
          <t>Low</t>
        </is>
      </c>
      <c r="F23" s="11" t="inlineStr">
        <is>
          <t>S</t>
        </is>
      </c>
    </row>
    <row r="24">
      <c r="A24" s="11" t="inlineStr">
        <is>
          <t>Methodology: sprint plan</t>
        </is>
      </c>
      <c r="B24" s="11" t="inlineStr">
        <is>
          <t>p.30-35</t>
        </is>
      </c>
      <c r="C24" s="11" t="inlineStr">
        <is>
          <t>Phases promise features that aren't built (device OTP, notifications by email, thermal printing, live chat, reports). Align with final decisions.</t>
        </is>
      </c>
      <c r="D24" s="11" t="inlineStr">
        <is>
          <t>Paper</t>
        </is>
      </c>
      <c r="E24" s="11" t="inlineStr">
        <is>
          <t>Med</t>
        </is>
      </c>
      <c r="F24" s="11" t="inlineStr">
        <is>
          <t>S</t>
        </is>
      </c>
    </row>
    <row r="25">
      <c r="A25" s="11" t="inlineStr">
        <is>
          <t>Methodology: Deployment</t>
        </is>
      </c>
      <c r="B25" s="11" t="inlineStr">
        <is>
          <t>p.30</t>
        </is>
      </c>
      <c r="C25" s="11" t="inlineStr">
        <is>
          <t>'Deployed in a controlled environment using actual client data': not done yet. Decide hosting, then either do it or reword.</t>
        </is>
      </c>
      <c r="D25" s="11" t="inlineStr">
        <is>
          <t>Decision</t>
        </is>
      </c>
      <c r="E25" s="11" t="inlineStr">
        <is>
          <t>Med</t>
        </is>
      </c>
      <c r="F25" s="11" t="inlineStr">
        <is>
          <t>-</t>
        </is>
      </c>
    </row>
    <row r="26">
      <c r="A26" s="11" t="inlineStr">
        <is>
          <t>Technical Background</t>
        </is>
      </c>
      <c r="B26" s="11" t="inlineStr">
        <is>
          <t>p.35</t>
        </is>
      </c>
      <c r="C26" s="11" t="inlineStr">
        <is>
          <t>Say 'Cloud Firestore' instead of 'real-time database', and Cloudinary instead of Firebase cloud storage for images.</t>
        </is>
      </c>
      <c r="D26" s="11" t="inlineStr">
        <is>
          <t>Paper</t>
        </is>
      </c>
      <c r="E26" s="11" t="inlineStr">
        <is>
          <t>Low</t>
        </is>
      </c>
      <c r="F26" s="11" t="inlineStr">
        <is>
          <t>S</t>
        </is>
      </c>
    </row>
    <row r="27">
      <c r="A27" s="11" t="inlineStr">
        <is>
          <t>Technical Background</t>
        </is>
      </c>
      <c r="B27" s="11" t="inlineStr">
        <is>
          <t>p.35-36</t>
        </is>
      </c>
      <c r="C27" s="11" t="inlineStr">
        <is>
          <t>EmailJS listed for order confirmations and password reset links: password reset is Firebase Auth; order emails depend on REQ039.</t>
        </is>
      </c>
      <c r="D27" s="11" t="inlineStr">
        <is>
          <t>Paper</t>
        </is>
      </c>
      <c r="E27" s="11" t="inlineStr">
        <is>
          <t>Low</t>
        </is>
      </c>
      <c r="F27" s="11" t="inlineStr">
        <is>
          <t>S</t>
        </is>
      </c>
    </row>
    <row r="28">
      <c r="A28" s="11" t="inlineStr">
        <is>
          <t>Technical Background</t>
        </is>
      </c>
      <c r="B28" s="11" t="inlineStr">
        <is>
          <t>p.35-36</t>
        </is>
      </c>
      <c r="C28" s="11" t="inlineStr">
        <is>
          <t>Chart.js listed for 'inventory movement data': dashboard charts are sales only (inventory uses count tiles). Reword or add an inventory chart.</t>
        </is>
      </c>
      <c r="D28" s="11" t="inlineStr">
        <is>
          <t>Paper</t>
        </is>
      </c>
      <c r="E28" s="11" t="inlineStr">
        <is>
          <t>Low</t>
        </is>
      </c>
      <c r="F28" s="11" t="inlineStr">
        <is>
          <t>S</t>
        </is>
      </c>
    </row>
    <row r="29">
      <c r="A29" s="11" t="inlineStr">
        <is>
          <t>Technical Background</t>
        </is>
      </c>
      <c r="B29" s="11" t="inlineStr">
        <is>
          <t>p.35, 37</t>
        </is>
      </c>
      <c r="C29" s="11" t="inlineStr">
        <is>
          <t>DataTable listed; tables are custom-built. Remove or reword.</t>
        </is>
      </c>
      <c r="D29" s="11" t="inlineStr">
        <is>
          <t>Paper</t>
        </is>
      </c>
      <c r="E29" s="11" t="inlineStr">
        <is>
          <t>Low</t>
        </is>
      </c>
      <c r="F29" s="11" t="inlineStr">
        <is>
          <t>S</t>
        </is>
      </c>
    </row>
    <row r="30">
      <c r="A30" s="11" t="inlineStr">
        <is>
          <t>Technical Background</t>
        </is>
      </c>
      <c r="B30" s="11" t="inlineStr">
        <is>
          <t>p.35, 37</t>
        </is>
      </c>
      <c r="C30" s="11" t="inlineStr">
        <is>
          <t>Netlify listed for hosting with continuous integration; nothing is deployed (Netlify blocked by billing). Depends on the hosting decision.</t>
        </is>
      </c>
      <c r="D30" s="11" t="inlineStr">
        <is>
          <t>Decision</t>
        </is>
      </c>
      <c r="E30" s="11" t="inlineStr">
        <is>
          <t>Med</t>
        </is>
      </c>
      <c r="F30" s="11" t="inlineStr">
        <is>
          <t>S</t>
        </is>
      </c>
    </row>
    <row r="31">
      <c r="A31" s="11" t="inlineStr">
        <is>
          <t>Technical Background: Software</t>
        </is>
      </c>
      <c r="B31" s="11" t="inlineStr">
        <is>
          <t>p.36-38</t>
        </is>
      </c>
      <c r="C31" s="11" t="inlineStr">
        <is>
          <t>Missing tools actually used: Cloudinary (images), Choices.js (searchable dropdowns), Bootstrap Icons, Google Fonts (Roboto), Git/GitHub (version control), Node.js http-server (local serving).</t>
        </is>
      </c>
      <c r="D31" s="11" t="inlineStr">
        <is>
          <t>Paper</t>
        </is>
      </c>
      <c r="E31" s="11" t="inlineStr">
        <is>
          <t>Low</t>
        </is>
      </c>
      <c r="F31" s="11" t="inlineStr">
        <is>
          <t>S</t>
        </is>
      </c>
    </row>
    <row r="32">
      <c r="A32" s="11" t="inlineStr">
        <is>
          <t>Technical Background: Software</t>
        </is>
      </c>
      <c r="B32" s="11" t="inlineStr">
        <is>
          <t>p.38</t>
        </is>
      </c>
      <c r="C32" s="11" t="inlineStr">
        <is>
          <t>Canva is listed for mockups, but the Gantt chart says 'Creation of Figma'. Use one tool name.</t>
        </is>
      </c>
      <c r="D32" s="11" t="inlineStr">
        <is>
          <t>Paper</t>
        </is>
      </c>
      <c r="E32" s="11" t="inlineStr">
        <is>
          <t>Low</t>
        </is>
      </c>
      <c r="F32" s="11" t="inlineStr">
        <is>
          <t>S</t>
        </is>
      </c>
    </row>
    <row r="33">
      <c r="A33" s="11" t="inlineStr">
        <is>
          <t>Technical Background</t>
        </is>
      </c>
      <c r="B33" s="11" t="inlineStr">
        <is>
          <t>p.35</t>
        </is>
      </c>
      <c r="C33" s="11" t="inlineStr">
        <is>
          <t>States the AI assistant won't give medical advice: keep only if chat is built.</t>
        </is>
      </c>
      <c r="D33" s="11" t="inlineStr">
        <is>
          <t>Decision</t>
        </is>
      </c>
      <c r="E33" s="11" t="inlineStr">
        <is>
          <t>Low</t>
        </is>
      </c>
      <c r="F33" s="11" t="inlineStr">
        <is>
          <t>S</t>
        </is>
      </c>
    </row>
    <row r="34">
      <c r="A34" s="11" t="inlineStr">
        <is>
          <t>Modules: Staff roles</t>
        </is>
      </c>
      <c r="B34" s="11" t="inlineStr">
        <is>
          <t>p.45-46</t>
        </is>
      </c>
      <c r="C34" s="11" t="inlineStr">
        <is>
          <t>Lists 'void authorization' for Branch Manager and Technical Staff: needs the void feature. 'Sales Staff: product catalog viewing only': see REQ121 decision.</t>
        </is>
      </c>
      <c r="D34" s="11" t="inlineStr">
        <is>
          <t>Both</t>
        </is>
      </c>
      <c r="E34" s="11" t="inlineStr">
        <is>
          <t>Med</t>
        </is>
      </c>
      <c r="F34" s="11" t="inlineStr">
        <is>
          <t>S</t>
        </is>
      </c>
    </row>
    <row r="35">
      <c r="A35" s="11" t="inlineStr">
        <is>
          <t>Modules: Price Management</t>
        </is>
      </c>
      <c r="B35" s="11" t="inlineStr">
        <is>
          <t>p.42</t>
        </is>
      </c>
      <c r="C35" s="11" t="inlineStr">
        <is>
          <t>'Allows price locking': the lock is the Branch Manager-only rule (no separate lock switch). Reword, or add a lock toggle.</t>
        </is>
      </c>
      <c r="D35" s="11" t="inlineStr">
        <is>
          <t>Paper</t>
        </is>
      </c>
      <c r="E35" s="11" t="inlineStr">
        <is>
          <t>Low</t>
        </is>
      </c>
      <c r="F35" s="11" t="inlineStr">
        <is>
          <t>S</t>
        </is>
      </c>
    </row>
    <row r="36">
      <c r="A36" s="11" t="inlineStr">
        <is>
          <t>System roles</t>
        </is>
      </c>
      <c r="B36" s="11" t="inlineStr">
        <is>
          <t>-</t>
        </is>
      </c>
      <c r="C36" s="11" t="inlineStr">
        <is>
          <t>The system also has a legacy 'Administrator' role that the paper never mentions. Hide it from the UI or document it.</t>
        </is>
      </c>
      <c r="D36" s="11" t="inlineStr">
        <is>
          <t>System</t>
        </is>
      </c>
      <c r="E36" s="11" t="inlineStr">
        <is>
          <t>Low</t>
        </is>
      </c>
      <c r="F36" s="11" t="inlineStr">
        <is>
          <t>S</t>
        </is>
      </c>
    </row>
    <row r="37">
      <c r="A37" s="11" t="inlineStr">
        <is>
          <t>Wireframes (Figs 2.16-2.21)</t>
        </is>
      </c>
      <c r="B37" s="11" t="inlineStr">
        <is>
          <t>p.92-95</t>
        </is>
      </c>
      <c r="C37" s="11" t="inlineStr">
        <is>
          <t>Not compared yet. Replace with real screenshots, or keep them labelled as early wireframes.</t>
        </is>
      </c>
      <c r="D37" s="11" t="inlineStr">
        <is>
          <t>Paper</t>
        </is>
      </c>
      <c r="E37" s="11" t="inlineStr">
        <is>
          <t>Low</t>
        </is>
      </c>
      <c r="F37" s="11" t="inlineStr">
        <is>
          <t>S</t>
        </is>
      </c>
    </row>
    <row r="38">
      <c r="A38" s="11" t="inlineStr">
        <is>
          <t>Calendar of Activities</t>
        </is>
      </c>
      <c r="B38" s="11" t="inlineStr">
        <is>
          <t>p.96-98</t>
        </is>
      </c>
      <c r="C38" s="11" t="inlineStr">
        <is>
          <t>Lists a 'Fifth Interview', but the appendices only have four transcripts (J-M). Add the transcript and proof, or remove the row.</t>
        </is>
      </c>
      <c r="D38" s="11" t="inlineStr">
        <is>
          <t>Paper</t>
        </is>
      </c>
      <c r="E38" s="11" t="inlineStr">
        <is>
          <t>Med</t>
        </is>
      </c>
      <c r="F38" s="11" t="inlineStr">
        <is>
          <t>S</t>
        </is>
      </c>
    </row>
    <row r="39">
      <c r="A39" s="11" t="inlineStr">
        <is>
          <t>Calendar of Activities</t>
        </is>
      </c>
      <c r="B39" s="11" t="inlineStr">
        <is>
          <t>p.96-98</t>
        </is>
      </c>
      <c r="C39" s="11" t="inlineStr">
        <is>
          <t>Month header has no year. Update the bars to actual dates. The webapp branch history starts 2026-08-31 (earlier work isn't in this git history), so the team needs to fill earlier dates.</t>
        </is>
      </c>
      <c r="D39" s="11" t="inlineStr">
        <is>
          <t>Paper</t>
        </is>
      </c>
      <c r="E39" s="11" t="inlineStr">
        <is>
          <t>Med</t>
        </is>
      </c>
      <c r="F39" s="11" t="inlineStr">
        <is>
          <t>S</t>
        </is>
      </c>
    </row>
    <row r="40">
      <c r="A40" s="11" t="inlineStr">
        <is>
          <t>Calendar of Activities</t>
        </is>
      </c>
      <c r="B40" s="11" t="inlineStr">
        <is>
          <t>p.97-98</t>
        </is>
      </c>
      <c r="C40" s="11" t="inlineStr">
        <is>
          <t>Add rows for work actually done (POS, inventory, payment verification, wholesale, reports, testing) and mark 'System Deployment' per the hosting decision.</t>
        </is>
      </c>
      <c r="D40" s="11" t="inlineStr">
        <is>
          <t>Paper</t>
        </is>
      </c>
      <c r="E40" s="11" t="inlineStr">
        <is>
          <t>Low</t>
        </is>
      </c>
      <c r="F40" s="11" t="inlineStr">
        <is>
          <t>S</t>
        </is>
      </c>
    </row>
    <row r="41">
      <c r="A41" s="11" t="inlineStr">
        <is>
          <t>Budgetary Estimate</t>
        </is>
      </c>
      <c r="B41" s="11" t="inlineStr">
        <is>
          <t>p.99</t>
        </is>
      </c>
      <c r="C41" s="11" t="inlineStr">
        <is>
          <t>Total ₱31,790.08 checks out. Missing: Cloudinary (free), OpenAI API (pay-per-use, if chat is built), thermal printer (if printing is in scope).</t>
        </is>
      </c>
      <c r="D41" s="11" t="inlineStr">
        <is>
          <t>Paper</t>
        </is>
      </c>
      <c r="E41" s="11" t="inlineStr">
        <is>
          <t>Low</t>
        </is>
      </c>
      <c r="F41" s="11" t="inlineStr">
        <is>
          <t>S</t>
        </is>
      </c>
    </row>
    <row r="42">
      <c r="A42" s="11" t="inlineStr">
        <is>
          <t>Budgetary Estimate</t>
        </is>
      </c>
      <c r="B42" s="11" t="inlineStr">
        <is>
          <t>p.99</t>
        </is>
      </c>
      <c r="C42" s="11" t="inlineStr">
        <is>
          <t>Domain name ₱841.08 and Firebase Blaze ₱200: keep only if actually bought/used. Netlify is listed as free, but deployment was blocked by billing; make these consistent.</t>
        </is>
      </c>
      <c r="D42" s="11" t="inlineStr">
        <is>
          <t>Paper</t>
        </is>
      </c>
      <c r="E42" s="11" t="inlineStr">
        <is>
          <t>Low</t>
        </is>
      </c>
      <c r="F42" s="11" t="inlineStr">
        <is>
          <t>S</t>
        </is>
      </c>
    </row>
    <row r="43">
      <c r="A43" s="11" t="inlineStr">
        <is>
          <t>References</t>
        </is>
      </c>
      <c r="B43" s="11" t="inlineStr">
        <is>
          <t>p.100</t>
        </is>
      </c>
      <c r="C43" s="11" t="inlineStr">
        <is>
          <t>Davis reference is written 'Fred D. Davis. (1989)'; APA is 'Davis, F. D. (1989).'</t>
        </is>
      </c>
      <c r="D43" s="11" t="inlineStr">
        <is>
          <t>Paper</t>
        </is>
      </c>
      <c r="E43" s="11" t="inlineStr">
        <is>
          <t>Low</t>
        </is>
      </c>
      <c r="F43" s="11" t="inlineStr">
        <is>
          <t>S</t>
        </is>
      </c>
    </row>
    <row r="44">
      <c r="A44" s="11" t="inlineStr">
        <is>
          <t>References</t>
        </is>
      </c>
      <c r="B44" s="11" t="inlineStr">
        <is>
          <t>p.10 / refs</t>
        </is>
      </c>
      <c r="C44" s="11" t="inlineStr">
        <is>
          <t>'The Generics Pharmacy (TGP) Sumulong Case Study (2024)' is cited without an author; check the APA author/organization format.</t>
        </is>
      </c>
      <c r="D44" s="11" t="inlineStr">
        <is>
          <t>Paper</t>
        </is>
      </c>
      <c r="E44" s="11" t="inlineStr">
        <is>
          <t>Low</t>
        </is>
      </c>
      <c r="F44" s="11" t="inlineStr">
        <is>
          <t>S</t>
        </is>
      </c>
    </row>
    <row r="45">
      <c r="A45" s="11" t="inlineStr">
        <is>
          <t>References</t>
        </is>
      </c>
      <c r="B45" s="11" t="inlineStr">
        <is>
          <t>p.17 / refs</t>
        </is>
      </c>
      <c r="C45" s="11" t="inlineStr">
        <is>
          <t>Sardjono et al. (2023) is described as an Agile-based study, but its listed title is about Track and Trace in Pharma 4.0. Verify the source matches the summary.</t>
        </is>
      </c>
      <c r="D45" s="11" t="inlineStr">
        <is>
          <t>Paper</t>
        </is>
      </c>
      <c r="E45" s="11" t="inlineStr">
        <is>
          <t>Low</t>
        </is>
      </c>
      <c r="F45" s="11" t="inlineStr">
        <is>
          <t>S</t>
        </is>
      </c>
    </row>
    <row r="46">
      <c r="A46" s="11" t="inlineStr">
        <is>
          <t>Appendices</t>
        </is>
      </c>
      <c r="B46" s="11" t="inlineStr">
        <is>
          <t>p.124</t>
        </is>
      </c>
      <c r="C46" s="11" t="inlineStr">
        <is>
          <t>List of Appendices says 'PayMongo Pricing' / 'Lalamove API Instruction'; the appendix pages say 'PayMongo Pricing Limitation' / 'Lalamove API Limitation'. Match titles.</t>
        </is>
      </c>
      <c r="D46" s="11" t="inlineStr">
        <is>
          <t>Paper</t>
        </is>
      </c>
      <c r="E46" s="11" t="inlineStr">
        <is>
          <t>Low</t>
        </is>
      </c>
      <c r="F46" s="11" t="inlineStr">
        <is>
          <t>S</t>
        </is>
      </c>
    </row>
    <row r="47">
      <c r="A47" s="11" t="inlineStr">
        <is>
          <t>Table of Contents / List of Figures</t>
        </is>
      </c>
      <c r="B47" s="11" t="inlineStr">
        <is>
          <t>p.iv-vi</t>
        </is>
      </c>
      <c r="C47" s="11" t="inlineStr">
        <is>
          <t>Regenerate page numbers after all edits.</t>
        </is>
      </c>
      <c r="D47" s="11" t="inlineStr">
        <is>
          <t>Paper</t>
        </is>
      </c>
      <c r="E47" s="11" t="inlineStr">
        <is>
          <t>Low</t>
        </is>
      </c>
      <c r="F47" s="11" t="inlineStr">
        <is>
          <t>S</t>
        </is>
      </c>
    </row>
    <row r="48">
      <c r="A48" s="11" t="inlineStr">
        <is>
          <t>Client items</t>
        </is>
      </c>
      <c r="B48" s="11" t="inlineStr">
        <is>
          <t>-</t>
        </is>
      </c>
      <c r="C48" s="11" t="inlineStr">
        <is>
          <t>Get from the client: the QR Ph image, the sales invoice format, and the store details for the footer (hotline, email, hours, address, FDA LTO No. - fill js/store-info.js); have them review the Terms/Privacy text. Ask them: are all sales VAT-exempt (sample shows VATable 0.00), is pay-in/pay-out used, who tracks credit collections, which categories to use, may we load the real catalog for the demo?</t>
        </is>
      </c>
      <c r="D48" s="11" t="inlineStr">
        <is>
          <t>Client</t>
        </is>
      </c>
      <c r="E48" s="11" t="inlineStr">
        <is>
          <t>High</t>
        </is>
      </c>
      <c r="F48" s="11" t="inlineStr">
        <is>
          <t>S</t>
        </is>
      </c>
    </row>
  </sheetData>
  <autoFilter ref="A1:F4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46" customWidth="1" min="4" max="4"/>
  </cols>
  <sheetData>
    <row r="1">
      <c r="A1" s="10" t="inlineStr">
        <is>
          <t>Figure</t>
        </is>
      </c>
      <c r="B1" s="10" t="inlineStr">
        <is>
          <t>Title</t>
        </is>
      </c>
      <c r="C1" s="10" t="inlineStr">
        <is>
          <t>Image</t>
        </is>
      </c>
      <c r="D1" s="10" t="inlineStr">
        <is>
          <t>Review</t>
        </is>
      </c>
    </row>
    <row r="2">
      <c r="A2" s="11" t="inlineStr">
        <is>
          <t>2.2</t>
        </is>
      </c>
      <c r="B2" s="11" t="inlineStr">
        <is>
          <t>Overall Use Case Diagram</t>
        </is>
      </c>
      <c r="C2" s="11" t="inlineStr">
        <is>
          <t>Received</t>
        </is>
      </c>
      <c r="D2" s="11" t="inlineStr">
        <is>
          <t>Reviewed</t>
        </is>
      </c>
    </row>
    <row r="3">
      <c r="A3" s="11" t="inlineStr">
        <is>
          <t>2.3</t>
        </is>
      </c>
      <c r="B3" s="11" t="inlineStr">
        <is>
          <t>Use Case: Platform Access and Account Management</t>
        </is>
      </c>
      <c r="C3" s="11" t="inlineStr">
        <is>
          <t>Received</t>
        </is>
      </c>
      <c r="D3" s="11" t="inlineStr">
        <is>
          <t>Reviewed</t>
        </is>
      </c>
    </row>
    <row r="4">
      <c r="A4" s="11" t="inlineStr">
        <is>
          <t>2.4</t>
        </is>
      </c>
      <c r="B4" s="11" t="inlineStr">
        <is>
          <t>Use Case: Customer Ordering and Purchase</t>
        </is>
      </c>
      <c r="C4" s="11" t="inlineStr">
        <is>
          <t>Received</t>
        </is>
      </c>
      <c r="D4" s="11" t="inlineStr">
        <is>
          <t>Reviewed</t>
        </is>
      </c>
    </row>
    <row r="5">
      <c r="A5" s="11" t="inlineStr">
        <is>
          <t>2.5</t>
        </is>
      </c>
      <c r="B5" s="11" t="inlineStr">
        <is>
          <t>Use Case: Inventory Management</t>
        </is>
      </c>
      <c r="C5" s="11" t="inlineStr">
        <is>
          <t>Received</t>
        </is>
      </c>
      <c r="D5" s="11" t="inlineStr">
        <is>
          <t>Reviewed</t>
        </is>
      </c>
    </row>
    <row r="6">
      <c r="A6" s="11" t="inlineStr">
        <is>
          <t>2.6</t>
        </is>
      </c>
      <c r="B6" s="11" t="inlineStr">
        <is>
          <t>Use Case: Order Processing and Sales Operations</t>
        </is>
      </c>
      <c r="C6" s="11" t="inlineStr">
        <is>
          <t>Received</t>
        </is>
      </c>
      <c r="D6" s="11" t="inlineStr">
        <is>
          <t>Reviewed</t>
        </is>
      </c>
    </row>
    <row r="7">
      <c r="A7" s="11" t="inlineStr">
        <is>
          <t>2.7</t>
        </is>
      </c>
      <c r="B7" s="11" t="inlineStr">
        <is>
          <t>Use Case: Administrative Controls</t>
        </is>
      </c>
      <c r="C7" s="11" t="inlineStr">
        <is>
          <t>Received</t>
        </is>
      </c>
      <c r="D7" s="11" t="inlineStr">
        <is>
          <t>Reviewed</t>
        </is>
      </c>
    </row>
    <row r="8">
      <c r="A8" s="11" t="inlineStr">
        <is>
          <t>2.8</t>
        </is>
      </c>
      <c r="B8" s="11" t="inlineStr">
        <is>
          <t>Activity: Login Process</t>
        </is>
      </c>
      <c r="C8" s="11" t="inlineStr">
        <is>
          <t>Received</t>
        </is>
      </c>
      <c r="D8" s="11" t="inlineStr">
        <is>
          <t>Reviewed</t>
        </is>
      </c>
    </row>
    <row r="9">
      <c r="A9" s="11" t="inlineStr">
        <is>
          <t>2.9</t>
        </is>
      </c>
      <c r="B9" s="11" t="inlineStr">
        <is>
          <t>Activity: Account Registration</t>
        </is>
      </c>
      <c r="C9" s="11" t="inlineStr">
        <is>
          <t>Received</t>
        </is>
      </c>
      <c r="D9" s="11" t="inlineStr">
        <is>
          <t>Reviewed</t>
        </is>
      </c>
    </row>
    <row r="10">
      <c r="A10" s="11" t="inlineStr">
        <is>
          <t>2.10</t>
        </is>
      </c>
      <c r="B10" s="11" t="inlineStr">
        <is>
          <t>Activity: Customer Purchasing</t>
        </is>
      </c>
      <c r="C10" s="11" t="inlineStr">
        <is>
          <t>Received</t>
        </is>
      </c>
      <c r="D10" s="11" t="inlineStr">
        <is>
          <t>Reviewed</t>
        </is>
      </c>
    </row>
    <row r="11">
      <c r="A11" s="11" t="inlineStr">
        <is>
          <t>2.11</t>
        </is>
      </c>
      <c r="B11" s="11" t="inlineStr">
        <is>
          <t>Activity: Payment Verification and Order Processing</t>
        </is>
      </c>
      <c r="C11" s="11" t="inlineStr">
        <is>
          <t>Received</t>
        </is>
      </c>
      <c r="D11" s="11" t="inlineStr">
        <is>
          <t>Reviewed</t>
        </is>
      </c>
    </row>
    <row r="12">
      <c r="A12" s="11" t="inlineStr">
        <is>
          <t>2.12</t>
        </is>
      </c>
      <c r="B12" s="11" t="inlineStr">
        <is>
          <t>Activity: Inventory Management</t>
        </is>
      </c>
      <c r="C12" s="11" t="inlineStr">
        <is>
          <t>Received</t>
        </is>
      </c>
      <c r="D12" s="11" t="inlineStr">
        <is>
          <t>Reviewed</t>
        </is>
      </c>
    </row>
    <row r="13">
      <c r="A13" s="11" t="inlineStr">
        <is>
          <t>2.13</t>
        </is>
      </c>
      <c r="B13" s="11" t="inlineStr">
        <is>
          <t>Activity: Wholesale Order Processing</t>
        </is>
      </c>
      <c r="C13" s="11" t="inlineStr">
        <is>
          <t>Received</t>
        </is>
      </c>
      <c r="D13" s="11" t="inlineStr">
        <is>
          <t>Reviewed</t>
        </is>
      </c>
    </row>
    <row r="14">
      <c r="A14" s="11" t="inlineStr">
        <is>
          <t>2.14</t>
        </is>
      </c>
      <c r="B14" s="11" t="inlineStr">
        <is>
          <t>Activity: Walk-in Order Processing (POS)</t>
        </is>
      </c>
      <c r="C14" s="11" t="inlineStr">
        <is>
          <t>Received</t>
        </is>
      </c>
      <c r="D14" s="11" t="inlineStr">
        <is>
          <t>Reviewed</t>
        </is>
      </c>
    </row>
    <row r="15">
      <c r="A15" s="11" t="inlineStr">
        <is>
          <t>2.15</t>
        </is>
      </c>
      <c r="B15" s="11" t="inlineStr">
        <is>
          <t>Activity: Wholesale Exchange Processing</t>
        </is>
      </c>
      <c r="C15" s="11" t="inlineStr">
        <is>
          <t>Received</t>
        </is>
      </c>
      <c r="D15" s="11" t="inlineStr">
        <is>
          <t>Reviewed</t>
        </is>
      </c>
    </row>
    <row r="16">
      <c r="A16" s="11" t="inlineStr">
        <is>
          <t>2.16-2.21</t>
        </is>
      </c>
      <c r="B16" s="11" t="inlineStr">
        <is>
          <t>Wireframes</t>
        </is>
      </c>
      <c r="C16" s="11" t="inlineStr">
        <is>
          <t>Not requested</t>
        </is>
      </c>
      <c r="D16" s="11" t="inlineStr">
        <is>
          <t>Optional - send if you want UI compared to wireframes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2026-10-21T01:16:42Z</dcterms:created>
  <dcterms:modified xmlns:dcterms="http://purl.org/dc/terms/" xmlns:xsi="http://www.w3.org/2001/XMLSchema-instance" xsi:type="dcterms:W3CDTF">2026-10-21T01:16:42Z</dcterms:modified>
</cp:coreProperties>
</file>