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Chec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<sst xmlns="http://schemas.openxmlformats.org/spreadsheetml/2006/main" count="152" uniqueCount="111">
  <si>
    <t xml:space="preserve">Checks</t>
  </si>
  <si>
    <t xml:space="preserve">Pass</t>
  </si>
  <si>
    <t xml:space="preserve">Pass with note</t>
  </si>
  <si>
    <t xml:space="preserve">Fail</t>
  </si>
  <si>
    <t xml:space="preserve">Skipped</t>
  </si>
  <si>
    <t xml:space="preserve">Not run</t>
  </si>
  <si>
    <t xml:space="preserve">Ready for go-live?</t>
  </si>
  <si>
    <t xml:space="preserve">AMSON - Re-test after fixes (very quick)</t>
  </si>
  <si>
    <t xml:space="preserve">18 checks: the fixes from the first test run plus the main jobs not tested yet. About 1 hour for one person, or about 30 minutes split between two (X01-X09 and X10-X18). Test on https://amsonpharma.web.app.</t>
  </si>
  <si>
    <t xml:space="preserve">How to mark</t>
  </si>
  <si>
    <t xml:space="preserve">Pass - works.   Pass with note - works but something small looks off (write it in Notes).   Fail - doesn't work (write what happened).   Skipped - couldn't test (say why).</t>
  </si>
  <si>
    <t xml:space="preserve">A 'Pass with note' is fine for go-live; only a 'Fail' needs fixing first. Send any Fail with its number (e.g. Q12) and what you saw.</t>
  </si>
  <si>
    <t xml:space="preserve">Before you start</t>
  </si>
  <si>
    <t xml:space="preserve">- Close every tab of the site first, then open it fresh (so the new version loads). Use a separate browser or profile per role.</t>
  </si>
  <si>
    <t xml:space="preserve">- Have 2-3 products with stock, including one Rx product (X14 adds stock).</t>
  </si>
  <si>
    <t xml:space="preserve">- Afterwards, clear the test data from Settings -&gt; Clear Test Data (before November 15).</t>
  </si>
  <si>
    <t xml:space="preserve">The longer plans are AMSON-Test-Plan-Quick.xlsx (35 checks) and AMSON-Test-Plan.xlsx (490 checks).</t>
  </si>
  <si>
    <t xml:space="preserve">#</t>
  </si>
  <si>
    <t xml:space="preserve">Area</t>
  </si>
  <si>
    <t xml:space="preserve">Log in as</t>
  </si>
  <si>
    <t xml:space="preserve">Do this</t>
  </si>
  <si>
    <t xml:space="preserve">Should happen</t>
  </si>
  <si>
    <t xml:space="preserve">Req</t>
  </si>
  <si>
    <t xml:space="preserve">Result</t>
  </si>
  <si>
    <t xml:space="preserve">Tester</t>
  </si>
  <si>
    <t xml:space="preserve">Notes</t>
  </si>
  <si>
    <t xml:space="preserve">X01</t>
  </si>
  <si>
    <t xml:space="preserve">Tabs &amp; login</t>
  </si>
  <si>
    <t xml:space="preserve">Guest</t>
  </si>
  <si>
    <t xml:space="preserve">Open the shop in 3 tabs at once: Home, Products, and one product page.</t>
  </si>
  <si>
    <t xml:space="preserve">All 3 tabs show products (none stay empty).</t>
  </si>
  <si>
    <t xml:space="preserve">REQ009</t>
  </si>
  <si>
    <t xml:space="preserve">X02</t>
  </si>
  <si>
    <t xml:space="preserve">Customer</t>
  </si>
  <si>
    <t xml:space="preserve">Log in WITHOUT 'Remember me' and open a new tab. Then close the browser completely and open the site again.</t>
  </si>
  <si>
    <t xml:space="preserve">New tab is still logged in. After reopening the browser you're logged out (Login button shows).</t>
  </si>
  <si>
    <t xml:space="preserve">REQ003</t>
  </si>
  <si>
    <t xml:space="preserve">X03</t>
  </si>
  <si>
    <t xml:space="preserve">Log in WITH 'Remember me', close the browser completely, open the site again.</t>
  </si>
  <si>
    <t xml:space="preserve">Still logged in.</t>
  </si>
  <si>
    <t xml:space="preserve">X04</t>
  </si>
  <si>
    <t xml:space="preserve">Branch Manager</t>
  </si>
  <si>
    <t xml:space="preserve">While logged in as staff, open the shop home page.</t>
  </si>
  <si>
    <t xml:space="preserve">A dark 'staff account' bar with Go to Dashboard and Log out; no customer menu or cart actions.</t>
  </si>
  <si>
    <t xml:space="preserve">REQ043</t>
  </si>
  <si>
    <t xml:space="preserve">X05</t>
  </si>
  <si>
    <t xml:space="preserve">Sales Staff</t>
  </si>
  <si>
    <t xml:space="preserve">Type admin/dashboard.html in the address bar.</t>
  </si>
  <si>
    <t xml:space="preserve">Only a spinner, then 'no access' and back to POS - the dashboard is never visible.</t>
  </si>
  <si>
    <t xml:space="preserve">REQNF011</t>
  </si>
  <si>
    <t xml:space="preserve">X06</t>
  </si>
  <si>
    <t xml:space="preserve">Shop</t>
  </si>
  <si>
    <t xml:space="preserve">Add an Rx product and a normal product to the cart, then click Proceed to Checkout and log in.</t>
  </si>
  <si>
    <t xml:space="preserve">After login you land back on Checkout with the cart kept. Red 'Rx' tag next to the Rx item in cart and checkout.</t>
  </si>
  <si>
    <t xml:space="preserve">REQ014, REQ021</t>
  </si>
  <si>
    <t xml:space="preserve">X07</t>
  </si>
  <si>
    <t xml:space="preserve">Place a normal (non-Rx) order: address, schedule, payment screenshot + reference no.</t>
  </si>
  <si>
    <t xml:space="preserve">'Pending Verification' in My Orders; bell + email confirm it.</t>
  </si>
  <si>
    <t xml:space="preserve">REQ017-030</t>
  </si>
  <si>
    <t xml:space="preserve">X08</t>
  </si>
  <si>
    <t xml:space="preserve">Orders (staff)</t>
  </si>
  <si>
    <t xml:space="preserve">Technical Staff</t>
  </si>
  <si>
    <t xml:space="preserve">Online Orders tab: click the eye on that order. Then approve it in Payment Verification.</t>
  </si>
  <si>
    <t xml:space="preserve">Pop-up shows contact, address, items, total. No 'no longer in the catalog' warning; approved with an SI No.; stock goes down.</t>
  </si>
  <si>
    <t xml:space="preserve">REQ094-102</t>
  </si>
  <si>
    <t xml:space="preserve">X09</t>
  </si>
  <si>
    <t xml:space="preserve">Put another order On Hold (Underpayment). As the customer, LOGGED OUT, click the link in the email.</t>
  </si>
  <si>
    <t xml:space="preserve">Login page, then straight to that order (not 'couldn't find'); resubmitting works.</t>
  </si>
  <si>
    <t xml:space="preserve">REQ097-098</t>
  </si>
  <si>
    <t xml:space="preserve">X10</t>
  </si>
  <si>
    <t xml:space="preserve">Approve the Rx order; then click 'Mark as Picked Up' in the Online Orders tab.</t>
  </si>
  <si>
    <t xml:space="preserve">Ready for Pick-up -&gt; Picked Up; customer gets a notification.</t>
  </si>
  <si>
    <t xml:space="preserve">REQ077-079</t>
  </si>
  <si>
    <t xml:space="preserve">X11</t>
  </si>
  <si>
    <t xml:space="preserve">Book Delivery for the paid normal order with a share.lalamove.com link and the fee.</t>
  </si>
  <si>
    <t xml:space="preserve">Status Dispatched; customer sees the tracking link and the fee in the email.</t>
  </si>
  <si>
    <t xml:space="preserve">REQ103-105</t>
  </si>
  <si>
    <t xml:space="preserve">X12</t>
  </si>
  <si>
    <t xml:space="preserve">Chat</t>
  </si>
  <si>
    <t xml:space="preserve">Chat: ask 'store hours?', then 'delivery fee?', then 'talk to staff'.</t>
  </si>
  <si>
    <t xml:space="preserve">Hours answer (says 'not posted yet' until the client's hours are filled in); fee explained (set by Lalamove, paid to the rider); handed to staff.</t>
  </si>
  <si>
    <t xml:space="preserve">REQ035-037</t>
  </si>
  <si>
    <t xml:space="preserve">X13</t>
  </si>
  <si>
    <t xml:space="preserve">POS</t>
  </si>
  <si>
    <t xml:space="preserve">Sell 2 items for cash and print the receipt, while Inventory is open in another tab or computer.</t>
  </si>
  <si>
    <t xml:space="preserve">SI No. on the receipt; the Inventory quantity changes on its own.</t>
  </si>
  <si>
    <t xml:space="preserve">REQ082, REQNF005</t>
  </si>
  <si>
    <t xml:space="preserve">X14</t>
  </si>
  <si>
    <t xml:space="preserve">Stock</t>
  </si>
  <si>
    <t xml:space="preserve">Receive Stock -&gt; Upload Batch File (get the template from the ? button).</t>
  </si>
  <si>
    <t xml:space="preserve">'Stock received' pop-up listing each product; stock goes up.</t>
  </si>
  <si>
    <t xml:space="preserve">REQ051-063</t>
  </si>
  <si>
    <t xml:space="preserve">X15</t>
  </si>
  <si>
    <t xml:space="preserve">Create Purchase Order -&gt; Upload Batch File; save it. Then receive it with one item short.</t>
  </si>
  <si>
    <t xml:space="preserve">Rows filled from the file; 'Purchase order created' pop-up; short receipt -&gt; Discrepancy + bell alert.</t>
  </si>
  <si>
    <t xml:space="preserve">REQ053-057</t>
  </si>
  <si>
    <t xml:space="preserve">X16</t>
  </si>
  <si>
    <t xml:space="preserve">Wholesale &amp; reports</t>
  </si>
  <si>
    <t xml:space="preserve">Process a wholesale order and download its invoice. Then Reports -&gt; Daily Sales -&gt; PDF.</t>
  </si>
  <si>
    <t xml:space="preserve">Invoice shows buyer, batch and expiry; report totals match today's sales; dates MM/DD/YYYY.</t>
  </si>
  <si>
    <t xml:space="preserve">REQ085-092, REQ111-115</t>
  </si>
  <si>
    <t xml:space="preserve">X17</t>
  </si>
  <si>
    <t xml:space="preserve">Admin</t>
  </si>
  <si>
    <t xml:space="preserve">Audit Log: search today's entries (price change, void, stock received, status changes).</t>
  </si>
  <si>
    <t xml:space="preserve">Each shows Record / Before -&gt; After / Reason where it applies.</t>
  </si>
  <si>
    <t xml:space="preserve">REQ122-124</t>
  </si>
  <si>
    <t xml:space="preserve">X18</t>
  </si>
  <si>
    <t xml:space="preserve">Phone</t>
  </si>
  <si>
    <t xml:space="preserve">On a phone: browse (swipe the category bar sideways), cart, checkout, My Orders.</t>
  </si>
  <si>
    <t xml:space="preserve">Nothing runs off the screen; buttons tappable.</t>
  </si>
  <si>
    <t xml:space="preserve">REQNF003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</si>
</sst>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</cols>
  <sheetData>
    <row r="1" customFormat="false" ht="15" hidden="false" customHeight="true" outlineLevel="0" collapsed="false">
      <c r="A1" s="2" t="s">
        <v>0</v>
      </c>
      <c r="B1" s="3" t="n">
        <f aca="false">COUNTA(Checks!A2:A19)</f>
        <v>18</v>
      </c>
    </row>
    <row r="2" customFormat="false" ht="15" hidden="false" customHeight="true" outlineLevel="0" collapsed="false">
      <c r="A2" s="2" t="s">
        <v>1</v>
      </c>
      <c r="B2" s="3" t="n">
        <f aca="false">COUNTIF(Checks!G2:G19,"Pass")</f>
        <v>0</v>
      </c>
    </row>
    <row r="3" customFormat="false" ht="15" hidden="false" customHeight="true" outlineLevel="0" collapsed="false">
      <c r="A3" s="2" t="s">
        <v>2</v>
      </c>
      <c r="B3" s="3" t="n">
        <f aca="false">COUNTIF(Checks!G2:G19,"Pass with note")</f>
        <v>0</v>
      </c>
    </row>
    <row r="4" customFormat="false" ht="15" hidden="false" customHeight="true" outlineLevel="0" collapsed="false">
      <c r="A4" s="2" t="s">
        <v>3</v>
      </c>
      <c r="B4" s="3" t="n">
        <f aca="false">COUNTIF(Checks!G2:G19,"Fail")</f>
        <v>0</v>
      </c>
    </row>
    <row r="5" customFormat="false" ht="15" hidden="false" customHeight="true" outlineLevel="0" collapsed="false">
      <c r="A5" s="2" t="s">
        <v>4</v>
      </c>
      <c r="B5" s="3" t="n">
        <f aca="false">COUNTIF(Checks!G2:G19,"Skipped")</f>
        <v>0</v>
      </c>
    </row>
    <row r="6" customFormat="false" ht="15" hidden="false" customHeight="true" outlineLevel="0" collapsed="false">
      <c r="A6" s="2" t="s">
        <v>5</v>
      </c>
      <c r="B6" s="3" t="n">
        <f aca="false">COUNTIF(Checks!G2:G19,"Not run")</f>
        <v>18</v>
      </c>
    </row>
    <row r="7" customFormat="false" ht="15" hidden="false" customHeight="true" outlineLevel="0" collapsed="false">
      <c r="A7" s="2" t="s">
        <v>6</v>
      </c>
      <c r="B7" s="3" t="str">
        <f aca="false">IF(B4=0,IF(B6=0,"Yes - all checks done, no failures","Not yet - checks still to run"),"No - fix the Fail rows first")</f>
        <v>Not yet - checks still to run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4" t="s">
        <v>7</v>
      </c>
    </row>
    <row r="2" customFormat="false" ht="27.75" hidden="false" customHeight="true" outlineLevel="0" collapsed="false">
      <c r="A2" s="5" t="s">
        <v>8</v>
      </c>
    </row>
    <row r="3" customFormat="false" ht="15" hidden="false" customHeight="true" outlineLevel="0" collapsed="false">
      <c r="A3" s="5"/>
    </row>
    <row r="4" customFormat="false" ht="15" hidden="false" customHeight="true" outlineLevel="0" collapsed="false">
      <c r="A4" s="4" t="s">
        <v>9</v>
      </c>
    </row>
    <row r="5" customFormat="false" ht="27.75" hidden="false" customHeight="true" outlineLevel="0" collapsed="false">
      <c r="A5" s="5" t="s">
        <v>10</v>
      </c>
    </row>
    <row r="6" customFormat="false" ht="15" hidden="false" customHeight="true" outlineLevel="0" collapsed="false">
      <c r="A6" s="5" t="s">
        <v>11</v>
      </c>
    </row>
    <row r="7" customFormat="false" ht="15" hidden="false" customHeight="true" outlineLevel="0" collapsed="false">
      <c r="A7" s="5"/>
    </row>
    <row r="8" customFormat="false" ht="15" hidden="false" customHeight="true" outlineLevel="0" collapsed="false">
      <c r="A8" s="4" t="s">
        <v>12</v>
      </c>
    </row>
    <row r="9" customFormat="false" ht="15" hidden="false" customHeight="true" outlineLevel="0" collapsed="false">
      <c r="A9" s="5" t="s">
        <v>13</v>
      </c>
    </row>
    <row r="10" customFormat="false" ht="15" hidden="false" customHeight="true" outlineLevel="0" collapsed="false">
      <c r="A10" s="5" t="s">
        <v>14</v>
      </c>
    </row>
    <row r="11" customFormat="false" ht="15" hidden="false" customHeight="true" outlineLevel="0" collapsed="false">
      <c r="A11" s="5" t="s">
        <v>15</v>
      </c>
    </row>
    <row r="12" customFormat="false" ht="15" hidden="false" customHeight="true" outlineLevel="0" collapsed="false">
      <c r="A12" s="5"/>
    </row>
    <row r="13" customFormat="false" ht="15" hidden="false" customHeight="true" outlineLevel="0" collapsed="false">
      <c r="A13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60"/>
    <col collapsed="false" customWidth="true" hidden="false" outlineLevel="0" max="5" min="5" style="1" width="50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1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</row>
    <row r="2" customFormat="false" ht="27.75" hidden="false" customHeight="true" outlineLevel="0" collapsed="false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5</v>
      </c>
      <c r="H2" s="7"/>
      <c r="I2" s="7"/>
    </row>
    <row r="3" customFormat="false" ht="27.75" hidden="false" customHeight="true" outlineLevel="0" collapsed="false">
      <c r="A3" s="7" t="s">
        <v>32</v>
      </c>
      <c r="B3" s="7" t="s">
        <v>27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5</v>
      </c>
      <c r="H3" s="7"/>
      <c r="I3" s="7"/>
    </row>
    <row r="4" customFormat="false" ht="27.75" hidden="false" customHeight="true" outlineLevel="0" collapsed="false">
      <c r="A4" s="7" t="s">
        <v>37</v>
      </c>
      <c r="B4" s="7" t="s">
        <v>27</v>
      </c>
      <c r="C4" s="7" t="s">
        <v>33</v>
      </c>
      <c r="D4" s="7" t="s">
        <v>38</v>
      </c>
      <c r="E4" s="7" t="s">
        <v>39</v>
      </c>
      <c r="F4" s="7" t="s">
        <v>36</v>
      </c>
      <c r="G4" s="7" t="s">
        <v>5</v>
      </c>
      <c r="H4" s="7"/>
      <c r="I4" s="7"/>
    </row>
    <row r="5" customFormat="false" ht="27.75" hidden="false" customHeight="true" outlineLevel="0" collapsed="false">
      <c r="A5" s="7" t="s">
        <v>40</v>
      </c>
      <c r="B5" s="7" t="s">
        <v>27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5</v>
      </c>
      <c r="H5" s="7"/>
      <c r="I5" s="7"/>
    </row>
    <row r="6" customFormat="false" ht="27.75" hidden="false" customHeight="true" outlineLevel="0" collapsed="false">
      <c r="A6" s="7" t="s">
        <v>45</v>
      </c>
      <c r="B6" s="7" t="s">
        <v>27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</v>
      </c>
      <c r="H6" s="7"/>
      <c r="I6" s="7"/>
    </row>
    <row r="7" customFormat="false" ht="27.75" hidden="false" customHeight="true" outlineLevel="0" collapsed="false">
      <c r="A7" s="7" t="s">
        <v>50</v>
      </c>
      <c r="B7" s="7" t="s">
        <v>51</v>
      </c>
      <c r="C7" s="7" t="s">
        <v>28</v>
      </c>
      <c r="D7" s="7" t="s">
        <v>52</v>
      </c>
      <c r="E7" s="7" t="s">
        <v>53</v>
      </c>
      <c r="F7" s="7" t="s">
        <v>54</v>
      </c>
      <c r="G7" s="7" t="s">
        <v>5</v>
      </c>
      <c r="H7" s="7"/>
      <c r="I7" s="7"/>
    </row>
    <row r="8" customFormat="false" ht="27.75" hidden="false" customHeight="true" outlineLevel="0" collapsed="false">
      <c r="A8" s="7" t="s">
        <v>55</v>
      </c>
      <c r="B8" s="7" t="s">
        <v>51</v>
      </c>
      <c r="C8" s="7" t="s">
        <v>33</v>
      </c>
      <c r="D8" s="7" t="s">
        <v>56</v>
      </c>
      <c r="E8" s="7" t="s">
        <v>57</v>
      </c>
      <c r="F8" s="7" t="s">
        <v>58</v>
      </c>
      <c r="G8" s="7" t="s">
        <v>5</v>
      </c>
      <c r="H8" s="7"/>
      <c r="I8" s="7"/>
    </row>
    <row r="9" customFormat="false" ht="27.75" hidden="false" customHeight="true" outlineLevel="0" collapsed="false">
      <c r="A9" s="7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5</v>
      </c>
      <c r="H9" s="7"/>
      <c r="I9" s="7"/>
    </row>
    <row r="10" customFormat="false" ht="27.75" hidden="false" customHeight="true" outlineLevel="0" collapsed="false">
      <c r="A10" s="7" t="s">
        <v>65</v>
      </c>
      <c r="B10" s="7" t="s">
        <v>60</v>
      </c>
      <c r="C10" s="7" t="s">
        <v>61</v>
      </c>
      <c r="D10" s="7" t="s">
        <v>66</v>
      </c>
      <c r="E10" s="7" t="s">
        <v>67</v>
      </c>
      <c r="F10" s="7" t="s">
        <v>68</v>
      </c>
      <c r="G10" s="7" t="s">
        <v>5</v>
      </c>
      <c r="H10" s="7"/>
      <c r="I10" s="7"/>
    </row>
    <row r="11" customFormat="false" ht="27.75" hidden="false" customHeight="true" outlineLevel="0" collapsed="false">
      <c r="A11" s="7" t="s">
        <v>69</v>
      </c>
      <c r="B11" s="7" t="s">
        <v>60</v>
      </c>
      <c r="C11" s="7" t="s">
        <v>61</v>
      </c>
      <c r="D11" s="7" t="s">
        <v>70</v>
      </c>
      <c r="E11" s="7" t="s">
        <v>71</v>
      </c>
      <c r="F11" s="7" t="s">
        <v>72</v>
      </c>
      <c r="G11" s="7" t="s">
        <v>5</v>
      </c>
      <c r="H11" s="7"/>
      <c r="I11" s="7"/>
    </row>
    <row r="12" customFormat="false" ht="27.75" hidden="false" customHeight="true" outlineLevel="0" collapsed="false">
      <c r="A12" s="7" t="s">
        <v>73</v>
      </c>
      <c r="B12" s="7" t="s">
        <v>60</v>
      </c>
      <c r="C12" s="7" t="s">
        <v>61</v>
      </c>
      <c r="D12" s="7" t="s">
        <v>74</v>
      </c>
      <c r="E12" s="7" t="s">
        <v>75</v>
      </c>
      <c r="F12" s="7" t="s">
        <v>76</v>
      </c>
      <c r="G12" s="7" t="s">
        <v>5</v>
      </c>
      <c r="H12" s="7"/>
      <c r="I12" s="7"/>
    </row>
    <row r="13" customFormat="false" ht="27.75" hidden="false" customHeight="true" outlineLevel="0" collapsed="false">
      <c r="A13" s="7" t="s">
        <v>77</v>
      </c>
      <c r="B13" s="7" t="s">
        <v>78</v>
      </c>
      <c r="C13" s="7" t="s">
        <v>28</v>
      </c>
      <c r="D13" s="7" t="s">
        <v>79</v>
      </c>
      <c r="E13" s="7" t="s">
        <v>80</v>
      </c>
      <c r="F13" s="7" t="s">
        <v>81</v>
      </c>
      <c r="G13" s="7" t="s">
        <v>5</v>
      </c>
      <c r="H13" s="7"/>
      <c r="I13" s="7"/>
    </row>
    <row r="14" customFormat="false" ht="27.75" hidden="false" customHeight="true" outlineLevel="0" collapsed="false">
      <c r="A14" s="7" t="s">
        <v>82</v>
      </c>
      <c r="B14" s="7" t="s">
        <v>83</v>
      </c>
      <c r="C14" s="7" t="s">
        <v>46</v>
      </c>
      <c r="D14" s="7" t="s">
        <v>84</v>
      </c>
      <c r="E14" s="7" t="s">
        <v>85</v>
      </c>
      <c r="F14" s="7" t="s">
        <v>86</v>
      </c>
      <c r="G14" s="7" t="s">
        <v>5</v>
      </c>
      <c r="H14" s="7"/>
      <c r="I14" s="7"/>
    </row>
    <row r="15" customFormat="false" ht="27.75" hidden="false" customHeight="true" outlineLevel="0" collapsed="false">
      <c r="A15" s="7" t="s">
        <v>87</v>
      </c>
      <c r="B15" s="7" t="s">
        <v>88</v>
      </c>
      <c r="C15" s="7" t="s">
        <v>41</v>
      </c>
      <c r="D15" s="7" t="s">
        <v>89</v>
      </c>
      <c r="E15" s="7" t="s">
        <v>90</v>
      </c>
      <c r="F15" s="7" t="s">
        <v>91</v>
      </c>
      <c r="G15" s="7" t="s">
        <v>5</v>
      </c>
      <c r="H15" s="7"/>
      <c r="I15" s="7"/>
    </row>
    <row r="16" customFormat="false" ht="27.75" hidden="false" customHeight="true" outlineLevel="0" collapsed="false">
      <c r="A16" s="7" t="s">
        <v>92</v>
      </c>
      <c r="B16" s="7" t="s">
        <v>88</v>
      </c>
      <c r="C16" s="7" t="s">
        <v>41</v>
      </c>
      <c r="D16" s="7" t="s">
        <v>93</v>
      </c>
      <c r="E16" s="7" t="s">
        <v>94</v>
      </c>
      <c r="F16" s="7" t="s">
        <v>95</v>
      </c>
      <c r="G16" s="7" t="s">
        <v>5</v>
      </c>
      <c r="H16" s="7"/>
      <c r="I16" s="7"/>
    </row>
    <row r="17" customFormat="false" ht="27.75" hidden="false" customHeight="true" outlineLevel="0" collapsed="false">
      <c r="A17" s="7" t="s">
        <v>96</v>
      </c>
      <c r="B17" s="7" t="s">
        <v>97</v>
      </c>
      <c r="C17" s="7" t="s">
        <v>41</v>
      </c>
      <c r="D17" s="7" t="s">
        <v>98</v>
      </c>
      <c r="E17" s="7" t="s">
        <v>99</v>
      </c>
      <c r="F17" s="7" t="s">
        <v>100</v>
      </c>
      <c r="G17" s="7" t="s">
        <v>5</v>
      </c>
      <c r="H17" s="7"/>
      <c r="I17" s="7"/>
    </row>
    <row r="18" customFormat="false" ht="27.75" hidden="false" customHeight="true" outlineLevel="0" collapsed="false">
      <c r="A18" s="7" t="s">
        <v>101</v>
      </c>
      <c r="B18" s="7" t="s">
        <v>102</v>
      </c>
      <c r="C18" s="7" t="s">
        <v>41</v>
      </c>
      <c r="D18" s="7" t="s">
        <v>103</v>
      </c>
      <c r="E18" s="7" t="s">
        <v>104</v>
      </c>
      <c r="F18" s="7" t="s">
        <v>105</v>
      </c>
      <c r="G18" s="7" t="s">
        <v>5</v>
      </c>
      <c r="H18" s="7"/>
      <c r="I18" s="7"/>
    </row>
    <row r="19" customFormat="false" ht="27.75" hidden="false" customHeight="true" outlineLevel="0" collapsed="false">
      <c r="A19" s="7" t="s">
        <v>106</v>
      </c>
      <c r="B19" s="7" t="s">
        <v>107</v>
      </c>
      <c r="C19" s="7" t="s">
        <v>33</v>
      </c>
      <c r="D19" s="7" t="s">
        <v>108</v>
      </c>
      <c r="E19" s="7" t="s">
        <v>109</v>
      </c>
      <c r="F19" s="7" t="s">
        <v>110</v>
      </c>
      <c r="G19" s="7" t="s">
        <v>5</v>
      </c>
      <c r="H19" s="7"/>
      <c r="I19" s="7"/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27.75" hidden="false" customHeight="true" outlineLevel="0" collapsed="false"/>
    <row r="28" customFormat="false" ht="27.7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27.7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</sheetData>
  <conditionalFormatting sqref="G2:G1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"Pass with note"</formula>
    </cfRule>
    <cfRule type="cellIs" priority="4" operator="equal" aboveAverage="0" equalAverage="0" bottom="0" percent="0" rank="0" text="" dxfId="2">
      <formula>"Fail"</formula>
    </cfRule>
    <cfRule type="cellIs" priority="5" operator="equal" aboveAverage="0" equalAverage="0" bottom="0" percent="0" rank="0" text="" dxfId="3">
      <formula>"Skipped"</formula>
    </cfRule>
  </conditionalFormatting>
  <dataValidations count="1">
    <dataValidation allowBlank="true" errorStyle="stop" operator="between" showDropDown="false" showErrorMessage="false" showInputMessage="false" sqref="G2:G19" type="list">
      <formula1>"Not run,Pass,Pass with note,Fail,Skipped"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2026-10-25T06:03:46Z</dcterms:created>
  <dc:creator>openpyxl</dc:creator>
  <dc:description/>
  <dc:language>en-US</dc:language>
  <cp:lastModifiedBy/>
  <dcterms:modified xsi:type="dcterms:W3CDTF">2026-10-26T03:08:15Z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